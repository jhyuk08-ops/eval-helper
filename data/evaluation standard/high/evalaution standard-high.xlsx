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평가계획서 작성 도우미\data\evaluation standard\high\"/>
    </mc:Choice>
  </mc:AlternateContent>
  <x:bookViews>
    <x:workbookView xWindow="0" yWindow="0" windowWidth="22788" windowHeight="8112" tabRatio="500"/>
  </x:bookViews>
  <x:sheets>
    <x:sheet name="Sheet1" sheetId="1" r:id="rId4"/>
  </x:sheets>
  <x:definedNames>
    <x:definedName name="_xlnm._FilterDatabase" localSheetId="0" hidden="1">Sheet1!$B$1:$D$702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<x:sst xmlns:r="http://schemas.openxmlformats.org/officeDocument/2006/relationships" xmlns:c="http://schemas.openxmlformats.org/drawingml/2006/chart" xmlns:x="http://schemas.openxmlformats.org/spreadsheetml/2006/main" count="1129" uniqueCount="697">
  <x:si>
    <x:r>
      <x:t>[12사문01-02]사회현상에 대한 양적 연구 방법과 질적 연구 방법의 특징 및 연구 절차를 비교하고,각 연구 방법을 활용한 연구 사례를 분석한다.</x:t>
    </x:r>
  </x:si>
  <x:si>
    <x:t>[12사문01-01]사회현상의 탐구를 위해 사회현상의 특징에 대한 이해와 사회학적 상상력이 필요함을 인식하고,사회현상에 대한 다양한 관점을 비교한다.</x:t>
  </x:si>
  <x:si>
    <x:t>세계의 다양한 기후에 대한 이해를 바탕으로 기후를 활용하거나 극복한 사례를 찾아 인간 생활과의 관계를 탐색한다.</x:t>
  </x:si>
  <x:si>
    <x:t>세계화의 의미를 지리적 스케일에 따라 이해하고,세계화와 지역화의 관계 속에서 세계시민의 역할을 탐색한다.</x:t>
  </x:si>
  <x:si>
    <x:t>다양한 국제 문제의 원인을 분석하고,이를 해결하기 위해 국가를 비롯한 여러 주체가수행하는 활동을 분석한다.</x:t>
  </x:si>
  <x:si>
    <x:t>위험 관리의 필요성과 위험 관리 방법으로서 보험의 원리를 이해하고,주요 보험 상품의 특징을 비교한다.</x:t>
  </x:si>
  <x:si>
    <x:t>문화 자산을 활용한 도시 브랜딩과 건축이 도시의 경관과 도시에 대한 인식 변화에미친 영향을 탐구한다.</x:t>
  </x:si>
  <x:si>
    <x:t>미디어와 여행의 상호관계를 통해 여행의 변화양상을 조사하고 미래 사회의 여행자와 여행의 모습을 예측한다.</x:t>
  </x:si>
  <x:si>
    <x:r>
      <x:t>[12국관04-02]국제법의 특징과 법원(法源)을 조사하고,국제 사법 재판소의 역할과 한계를 파악한다.</x:t>
    </x:r>
  </x:si>
  <x:si>
    <x:r>
      <x:t>[12정치02-01]민주 국가의 정치과정을 분석하고,시민이 정치과정에 참여해야 하는 이유를 탐색한다.</x:t>
    </x:r>
  </x:si>
  <x:si>
    <x:r>
      <x:t>[12정치02-02]민주 정치에서 정당의 의미와 역할을 탐구하고,다양한 정치 참여의 방법을 비교,분석한다.</x:t>
    </x:r>
  </x:si>
  <x:si>
    <x:r>
      <x:t>[12국관02-01]국가 간 불평등의 원인을 파악하고,이러한 불평등이 야기하는 갈등 상황을 분석한다.</x:t>
    </x:r>
  </x:si>
  <x:si>
    <x:r>
      <x:t>[12정치03-01]정치권력의 의미와 특징을 이해하고,근대 이후 국가 권력이 형성되는 원리를 이해한다.</x:t>
    </x:r>
  </x:si>
  <x:si>
    <x:t>중앙 정부와의 관계 속에서 지방 자치의 의의를 이해하고,우리나라 지방 자치의 현실과 과제를 탐구한다.</x:t>
  </x:si>
  <x:si>
    <x:r>
      <x:t>[12금융02-01]소득이 수입의 주요 원천임을 이해하고 소득에 영향을 미치는 다양한 요인을 탐구한다.</x:t>
    </x:r>
  </x:si>
  <x:si>
    <x:t>문화적 차이에 대한 상대주의적 태도의 필요성을 이해하고,보편 윤리의 차원에서 자문화와 타문화를 평가한다.</x:t>
  </x:si>
  <x:si>
    <x:t>[10통사1-03-02]</x:t>
  </x:si>
  <x:si>
    <x:t>[10통사1-03-03]</x:t>
  </x:si>
  <x:si>
    <x:t>[10통사1-02-01]</x:t>
  </x:si>
  <x:si>
    <x:t>[10통사1-03-01]</x:t>
  </x:si>
  <x:si>
    <x:t>[10통사1-02-02]</x:t>
  </x:si>
  <x:si>
    <x:t>산업구조의 전환이 지역 경제에 미치는 영향을 이해하고,이를 바탕으로 최근 급속하게성장한 지역과 위기의 징후가 나타나는 지역의 성격과 특징을 비교한다.</x:t>
  </x:si>
  <x:si>
    <x:r>
      <x:t>[12정치03-02]민주 국가의 정부 형태인 대통령제와 의원 내각제의 특징을 비교하여 이해하고,우리나라 정부 형태의 특징을 헌법을 통해 분석한다.</x:t>
    </x:r>
  </x:si>
  <x:si>
    <x:t>개인,국가,국제 사회의 평화와 안전을 위협하는 요인을 정치,경제,사회,문화의다양한 영역에 걸쳐 파악하고,이를 해결하기 위한 실천 방안을 탐색한다.</x:t>
  </x:si>
  <x:si>
    <x:t>[12기지04-03]정의,책임 그리고 배려 등과 같은 생태시민의 덕목을 사례 탐구를 통해 이해하고,인간 및 비인간이 함께 평화롭게 살아가는 공존의 세계를 위한 다층적 스케일에서의 실천 방안을 찾아 적극적으로 참여한다.</x:t>
  </x:si>
  <x:si>
    <x:t>정치</x:t>
  </x:si>
  <x:si>
    <x:t>세계사</x:t>
  </x:si>
  <x:si>
    <x:t>미국 혁명,프랑스 혁명을 시민 사회 형성과 관련지어 파악한다.</x:t>
  </x:si>
  <x:si>
    <x:t>[12세지04-02]</x:t>
  </x:si>
  <x:si>
    <x:t>[12세지04-03]</x:t>
  </x:si>
  <x:si>
    <x:t>[12세지04-01]</x:t>
  </x:si>
  <x:si>
    <x:r>
      <x:t>[12국관01-02]국제 사회를 이해하는 주요 관점인 현실주의와 자유주의를 중심으로 구체적인 국제관계의 사례를 분석하고,대안적 관점들을 탐색한다.</x:t>
    </x:r>
  </x:si>
  <x:si>
    <x:t>세계 주요 에너지 자원의 생산과 소비 현황을 조사하고,다양한 친환경 에너지원의특징에 대한 이해를 바탕으로 지속가능한 에너지 생산 방안을 제시한다.</x:t>
  </x:si>
  <x:si>
    <x:r>
      <x:t>[12세지03-01]세계 인구 분포 및 구조를 통해 세계 인구 문제를 이해하고,국제적 이주가 인구 유출지역과 유입 지역에 미치는 영향을 탐구한다.</x:t>
    </x:r>
  </x:si>
  <x:si>
    <x:r>
      <x:t>[12국관02-02]공정 무역과 공적 개발 원조 등 국제 사회의 상생을 위한 노력을 조사하고,다양한행위 주체의 협력 방안을 탐색한다.</x:t>
    </x:r>
  </x:si>
  <x:si>
    <x:r>
      <x:t>[12여지01-01]다양한 여행 사례와 자신의 여행 경험을 통해 여행의 의미를 파악하고 여행이 삶과세계 인식에 미치는 영향을 토의한다.</x:t>
    </x:r>
  </x:si>
  <x:si>
    <x:r>
      <x:t>[12정치02-03]대의제에서 선거의 중요성과 선거 제도의 다양한 유형을 이해하고,우리나라 선거 제도의 특징과 문제점을 분석한다.</x:t>
    </x:r>
  </x:si>
  <x:si>
    <x:r>
      <x:t>[12금융04-03]고령 사회에서 노후 설계의 필요성을 이해하고,연금의 종류와 특징을 파악하여 안정적인 노후 대비 계획을 설계한다.</x:t>
    </x:r>
  </x:si>
  <x:si>
    <x:r>
      <x:t>[12사탐01-04]사회문제의 탐구 과정에서 요구되는 연구 윤리를 설명하고,연구 윤리를 준수하며 사회문제를 탐구하는 태도를 가진다.</x:t>
    </x:r>
  </x:si>
  <x:si>
    <x:t>행복하고 안전한 금융 생활에 필요한 금융 정보를 탐색하고 평가하며,단기와 장기의 관점을 고려하여 합리적인 금융 의사 결정을 한다.</x:t>
  </x:si>
  <x:si>
    <x:t>[10통사2-02-01]</x:t>
  </x:si>
  <x:si>
    <x:t>[10통사2-02-02]</x:t>
  </x:si>
  <x:si>
    <x:t>[10통사2-02-03]</x:t>
  </x:si>
  <x:si>
    <x:r>
      <x:t>[12정치04-03]우리나라를 둘러싼 국제 관계를 이해하고,외교적 관점에서 한반도를 둘러싼 국제질서를 분석한다.</x:t>
    </x:r>
  </x:si>
  <x:si>
    <x:r>
      <x:t>[12정치04-01]국제 사회의 특징과 변화 과정을 이해하고 국제 정치를 바라보는 관점을 비교하여 분석한다.</x:t>
    </x:r>
  </x:si>
  <x:si>
    <x:t>환경 문제 해결을 위한 정부,시민사회,기업 등의 다양한 노력을 조사하고,생태시민으로서 실천 방안을 모색한다.</x:t>
  </x:si>
  <x:si>
    <x:r>
      <x:t>[12금융02-03]예산의 의미와 예산 관리 방법을 이해하고 자신의 금융 생활에서 예산을 수립⋅점검⋅평가한다.</x:t>
    </x:r>
  </x:si>
  <x:si>
    <x:t>대의제에서 선거의 중요성과 선거 제도의 다양한 유형을 이해하고,우리나라 선거 제도의 특징과 문제점을 분석한다.</x:t>
  </x:si>
  <x:si>
    <x:t>[12사문04-01]</x:t>
  </x:si>
  <x:si>
    <x:t>[12사문04-02]</x:t>
  </x:si>
  <x:si>
    <x:t>[12사문04-03]</x:t>
  </x:si>
  <x:si>
    <x:t>[12사문02-01]</x:t>
  </x:si>
  <x:si>
    <x:t>[12사문02-04]</x:t>
  </x:si>
  <x:si>
    <x:t>[12사문02-02]</x:t>
  </x:si>
  <x:si>
    <x:t>[12사문02-03]</x:t>
  </x:si>
  <x:si>
    <x:t>교과</x:t>
  </x:si>
  <x:si>
    <x:t>세계 주요 환경 문제의 유형과 실태를 설명하고,생태전환적 삶에 비추어 현재의 생활방식을 비판적으로 점검한다.</x:t>
  </x:si>
  <x:si>
    <x:t>국제 분쟁 및 무력 갈등의 원인과 전개 양상을 사례 중심으로 파악한다.</x:t>
  </x:si>
  <x:si>
    <x:r>
      <x:t>[12국관04-01]국제 분쟁을 해결하기 위한 외교와 국제법의 필요성과 기능을 탐색한다.</x:t>
    </x:r>
  </x:si>
  <x:si>
    <x:t>자연환경과 인문환경의 영향을 받아 형성된 다양한 문화권의 특징과 삶의 방식을 탐구한다.</x:t>
  </x:si>
  <x:si>
    <x:r>
      <x:t>[12세사01-01]현생 인류의 삶과 문명의 형성을 생태환경과의 관계 속에서 파악한다.</x:t>
    </x:r>
  </x:si>
  <x:si>
    <x:r>
      <x:t>[12세사01-02]동아시아,인도 세계의 형성을 문화의 상호 작용과 관련지어 이해한다.</x:t>
    </x:r>
  </x:si>
  <x:si>
    <x:t>도시의 발달과정에 대한 이해를 바탕으로 하여 다양한 유형의 도시를 비교하고,내가 사는 도시의 발달과정을 탐구한다.</x:t>
  </x:si>
  <x:si>
    <x:r>
      <x:t>[12금융03-02]기본적인 금융 투자 상품의 종류와 특징을 이해하고 투자에 영향을 미치는 요인을 탐구한다.</x:t>
    </x:r>
  </x:si>
  <x:si>
    <x:t>서비스업의 성장과 소비주의 심화가 도시 경제와 도시의 경관,생활양식 변화에 미친 영향을 분석한다.</x:t>
  </x:si>
  <x:si>
    <x:r>
      <x:t>[12세사03-04]아시아와 아프리카 지역에서 전개된 국민 국가 건설 운동의 양상과 성격을 비교한다.</x:t>
    </x:r>
  </x:si>
  <x:si>
    <x:r>
      <x:t>[12세사01-03]서아시아,지중해,유럽 세계의 형성과 문화적 특징을 종교의 확산과 관련지어 분석한다.</x:t>
    </x:r>
  </x:si>
  <x:si>
    <x:r>
      <x:t>[12사탐02-01]일상생활에서 나타나는 성 불평등 문제의 실태를 조사하고,원인과 해결 방안을 제시한다.</x:t>
    </x:r>
  </x:si>
  <x:si>
    <x:r>
      <x:t>[12사탐02-02]청소년의 미디어 이용 과정에서 나타나는 문제를 조사하고,원인과 해결 방안을 제시한다.</x:t>
    </x:r>
  </x:si>
  <x:si>
    <x:r>
      <x:t>[12역현03-02]대중 소비 사회의 형성과 생태환경의 문제 및 극복 노력을 사례 중심으로 탐구한다.</x:t>
    </x:r>
  </x:si>
  <x:si>
    <x:t>인류의 물질적,정신적 발전 과정을 성찰할 수 있는 산업유산 및 기념물을 조사하고 여행지의 가치를 평가한다.</x:t>
  </x:si>
  <x:si>
    <x:t>세계 주요 종교의 특징 및 종교 경관의 의미를 이해하고,각 종교가 인간 생활에 미치는 영향을 탐구한다.</x:t>
  </x:si>
  <x:si>
    <x:t>우리나라의 에너지원별 발전에 관한 주요 쟁점을 조사하고,탄소중립 달성을 위한 에너지 정책을 제안한다.</x:t>
  </x:si>
  <x:si>
    <x:r>
      <x:t>[12사탐03-01]저출산⋅고령화로 인해 발생하는 다양한 사회문제의 실태를 조사하고,해결 방안을제시한다.</x:t>
    </x:r>
  </x:si>
  <x:si>
    <x:t>지역 공동체의 생태전환을 위한 다양한 노력 사례를 조사하고 지역의 지속가능한사회⋅생태 체계를 탐색한다.</x:t>
  </x:si>
  <x:si>
    <x:r>
      <x:t>[12역현04-02]탈냉전 이후‘제3세계’국가의 권위주의 체제 변동에 따른 갈등 양상과 특징을 조사한다.</x:t>
    </x:r>
  </x:si>
  <x:si>
    <x:r>
      <x:t>[12한탐05-01]북한의 지리적 특징과 당면과제에 대한 이해를 바탕으로 남북협력의 가능성을 모색한다.</x:t>
    </x:r>
  </x:si>
  <x:si>
    <x:r>
      <x:t>[12법사02-01]민주주의와 법치주의의 발전 과정을 이해하고,우리나라 권력 분립의 원리를 탐구한다.</x:t>
    </x:r>
  </x:si>
  <x:si>
    <x:t>다양한 문화 경관의 형성 배경과 의미를 이해하고,감정이입과 공감의 자세로 여행지 주민을 배려하고 존중한다.</x:t>
  </x:si>
  <x:si>
    <x:r>
      <x:t>[12역현02-03]세계 여러 지역의 전쟁 관련 기념 시설이 제시하는 기억 방식을 조사하여 분석한다.</x:t>
    </x:r>
  </x:si>
  <x:si>
    <x:t>다양한 자료 수집 방법을 적용한 실제 사례를 활용하여 수집된 자료를 분석하고 해석하는 방법을 설명한다.</x:t>
  </x:si>
  <x:si>
    <x:r>
      <x:t>[10통사1-02-01]시대와 지역에 따라 다르게 나타나는 행복의 기준을 사례를 통해 비교하여 평가하고,삶의 목적으로서 행복의 의미를 성찰한다.</x:t>
    </x:r>
  </x:si>
  <x:si>
    <x:t>자연환경이 인간의 생활에 미치는 영향에 관한 과거와 현재의 사례를 조사하여 분석하고,안전하고 쾌적한 환경에서 살아가는 것이 시민의 권리임을 주장한다.</x:t>
  </x:si>
  <x:si>
    <x:t>문화 다양성 관련 국제 규범의 형성 과정을 살펴보고,그 의미와 한계를 탐구한다.</x:t>
  </x:si>
  <x:si>
    <x:t>국제법의 특징과 법원(法源)을 조사하고,국제 사법 재판소의 역할과 한계를 파악한다.</x:t>
  </x:si>
  <x:si>
    <x:t>대중 소비 사회의 형성과 생태환경의 문제 및 극복 노력을 사례 중심으로 탐구한다.</x:t>
  </x:si>
  <x:si>
    <x:r>
      <x:t>[12역현03-03]기후변화와 관련된 협약 및 보고서를 조사하고,그 의미를 추론한다.</x:t>
    </x:r>
  </x:si>
  <x:si>
    <x:t>세계 여러 지역의 전쟁 관련 기념 시설이 제시하는 기억 방식을 조사하여 분석한다.</x:t>
  </x:si>
  <x:si>
    <x:t>국가 간 불평등의 원인을 파악하고,이러한 불평등이 야기하는 갈등 상황을 분석한다.</x:t>
  </x:si>
  <x:si>
    <x:t>소득이 수입의 주요 원천임을 이해하고 소득에 영향을 미치는 다양한 요인을 탐구한다.</x:t>
  </x:si>
  <x:si>
    <x:t>탈냉전 이후‘제3세계’국가의 권위주의 체제 변동에 따른 갈등 양상과 특징을 조사한다.</x:t>
  </x:si>
  <x:si>
    <x:r>
      <x:t>[12역현04-03]국내외 분쟁과 갈등을 해결하기 위한 역사 정책 사례를 탐구한다.</x:t>
    </x:r>
  </x:si>
  <x:si>
    <x:t>여러 가지 거시 경제 변수를 탐색하고,국가 경제 전반의 활동 수준을 파악한다.</x:t>
  </x:si>
  <x:si>
    <x:t>[12한탐03-03]산업구조의 전환이 지역 경제에 미치는 영향을 이해하고,이를 바탕으로 최근 급속하게성장한 지역과 위기의 징후가 나타나는 지역의 성격과 특징을 비교한다.</x:t>
  </x:si>
  <x:si>
    <x:t>[12사문02-03]일탈 행동의 발생 요인이나 특성을 설명하는 다양한 일탈 이론을 비교하고,일탈 행동에 대한 사회 통제의 유형과 사회 통제의 필요성 및 문제점을 분석한다.</x:t>
  </x:si>
  <x:si>
    <x:t>근대 시민 혁명 등을 통해 확립되어 온 인권의 의미와 변화 양상을 이해하고,현대사회에서 주거,안전,환경,문화 등 다양한 영역으로 인권이 확장되고 있는 사례를 조사한다.</x:t>
  </x:si>
  <x:si>
    <x:t>[12사문02-01]사회 구조와 개인의 관계에 대한 이해를 바탕으로 개인의 사회화 과정,사회화 기관 및 유형을 설명하고,사회화에 대한 서로 다른 이론적 관점을 비교한다.</x:t>
  </x:si>
  <x:si>
    <x:t>[12사문02-02]사회 집단 및 사회 조직의 유형과 변화 양상에 대한 이해를 바탕으로 사회 집단 및 사회 조직이 개인의 사회생활과 사회적 관계에 미치는 영향을 설명한다.</x:t>
  </x:si>
  <x:si>
    <x:t>[12사문02-04]사회 변동이 다양한 요인의 복합적인 상호 작용의 산물이라는 점을 설명하고,현대사회의 변동 과정에서 나타나는 다양한 사회 운동의 유형과 특징을 탐구한다.</x:t>
  </x:si>
  <x:si>
    <x:t>[12한탐03-04]수도권 집중에 따른 지방소멸과 국토 불균등 발전 문제에 대한 인식을 바탕으로 국가 및 지역 수준의 국토균형발전 방안을 제안하고 실현 가능성을 평가한다.</x:t>
  </x:si>
  <x:si>
    <x:t>[10통사2-03-03]금융 자산의 특징과 자산 관리의 원칙을 토대로 금융 생활을 설계하고,경제적,사회적 환경의 변화가 금융과 관련한 의사 결정에 미치는 영향을 탐구한다.</x:t>
  </x:si>
  <x:si>
    <x:t>[12기지03-04]기후변화에 대응하기 위한 적정기술과 순환경제의 역할의 중요성을 파악하고,에너지 전환의 중요성에 대한 이해를 바탕으로 지속가능한 세계의 모습을 제안한다.</x:t>
  </x:si>
  <x:si>
    <x:t>[12금융03-03]저축과 투자의 장단점을 고려하여 자기 책임의 원칙에 따라 저축과 투자를 결정하며,활용할 수 있는 예금자 보호 제도와 투자자 보호 제도를 탐색한다.</x:t>
  </x:si>
  <x:si>
    <x:t>[12여지02-03]여행지의 기후 및 기후변화가 여행자와 여행지 주민에게 미치는 영향과 그 차이를 비교하고,지리적 상상력을 동원한 간접여행을 통해 기후경관을 체험한다.</x:t>
  </x:si>
  <x:si>
    <x:t>[10통사2-05-02]지구적 차원에서 에너지 자원의 분포와 소비 실태를 파악하고,기후변화에 대한 대응과 지속가능한 발전을 위한 제도적 방안과 개인적 노력을 탐구한다.</x:t>
  </x:si>
  <x:si>
    <x:t>[12기지04-02]지속가능한 세계는 개인의 일상생활 방식과 관련되어 있음을 이해하고,다양한 소비 영역에서 요구되는 지속가능한 생활방식을 탐색하고 실천 방안을 제안한다.</x:t>
  </x:si>
  <x:si>
    <x:t>[12도탐03-03]국제 이주에 따라 도시의 인구 구성과 공간 구조가 변화하여 발생하는 문제를 조사하고,도시 구성원들의 다양성과 차이를 존중하고 공존하는 방안을 모색한다.</x:t>
  </x:si>
  <x:si>
    <x:t>[12세지04-01]세계 주요 에너지 자원의 생산과 소비 현황을 조사하고,다양한 친환경 에너지원의특징에 대한 이해를 바탕으로 지속가능한 에너지 생산 방안을 제시한다.</x:t>
  </x:si>
  <x:si>
    <x:t>도시의 환경 문제와 재난은 자연적 요인과 사회적 요인이 복합적으로 작용하여 발생하고있음을 사례를 통해 파악하고,이를 공간 정의의 관점에서 분석하여 해결 방안을탐색한다.</x:t>
  </x:si>
  <x:si>
    <x:t>모빌리티의 변화와 발전에 따라 여행자의 이동,위치,장소가 어떻게 연결되고 관계를 맺는지 살펴보고,다양한 지도 및 지리정보기술을 활용하여 안전한 여행 계획을 수립한다.</x:t>
  </x:si>
  <x:si>
    <x:t>[12국관03-02]개인,국가,국제 사회의 평화와 안전을 위협하는 요인을 정치,경제,사회,문화의다양한 영역에 걸쳐 파악하고,이를 해결하기 위한 실천 방안을 탐색한다.</x:t>
  </x:si>
  <x:si>
    <x:t>국제 이주에 따라 도시의 인구 구성과 공간 구조가 변화하여 발생하는 문제를 조사하고,도시 구성원들의 다양성과 차이를 존중하고 공존하는 방안을 모색한다.</x:t>
  </x:si>
  <x:si>
    <x:t>[12법사03-02]인간다운 생활을 보장하려는 사회보장과 경쟁 및 소비자를 보호하기 위한 법적 근거를 탐구하고,구체적인 사례에서 공공 쟁점을 찾아 토론한다.</x:t>
  </x:si>
  <x:si>
    <x:t>자신의 사회문제 탐구 과정과 결과를 연구 보고서로 작성하여 발표하고,사회문제 해결을 위한 참여는 사회 구성원으로서의 권리이자 의무라는 점을 인식하며 해결 방안을적극적으로 실천한다.</x:t>
  </x:si>
  <x:si>
    <x:t>[12국관02-01]</x:t>
  </x:si>
  <x:si>
    <x:t>[12국관02-03]</x:t>
  </x:si>
  <x:si>
    <x:t>[12국관02-02]</x:t>
  </x:si>
  <x:si>
    <x:t>[12역현02-03]</x:t>
  </x:si>
  <x:si>
    <x:t>[12역현02-02]</x:t>
  </x:si>
  <x:si>
    <x:t>[12역현02-01]</x:t>
  </x:si>
  <x:si>
    <x:t>[12세사04-02]</x:t>
  </x:si>
  <x:si>
    <x:t>[12세사04-01]</x:t>
  </x:si>
  <x:si>
    <x:t>[12세사04-03]</x:t>
  </x:si>
  <x:si>
    <x:r>
      <x:t>[12법사03-03]현대적 법(률)관계의 특징과 지적 재산권의 의미를 이해하고,이와 관련된 일상생활에서의 사례를 찾아보고 관련 쟁점을 토론한다.</x:t>
    </x:r>
  </x:si>
  <x:si>
    <x:t>제1⋅2차 산업 혁명이 가져온 사회,경제,생태환경의 변화를 분석한다.</x:t>
  </x:si>
  <x:si>
    <x:t>청,무굴 제국,오스만 제국의 통치 정책과 사회,문화의 변화를 이해한다.</x:t>
  </x:si>
  <x:si>
    <x:t>[12도탐01-01]</x:t>
  </x:si>
  <x:si>
    <x:t>[12도탐01-03]</x:t>
  </x:si>
  <x:si>
    <x:t>[12도탐01-02]</x:t>
  </x:si>
  <x:si>
    <x:t>도시의 미래 탐구</x:t>
  </x:si>
  <x:si>
    <x:t>[12사탐01-01]</x:t>
  </x:si>
  <x:si>
    <x:t>[12사탐01-03]</x:t>
  </x:si>
  <x:si>
    <x:t>[12사탐01-04]</x:t>
  </x:si>
  <x:si>
    <x:t>[12사탐01-02]</x:t>
  </x:si>
  <x:si>
    <x:t>사회문제의 탐구 과정에서 요구되는 연구 윤리를 설명하고,연구 윤리를 준수하며 사회문제를 탐구하는 태도를 가진다.</x:t>
  </x:si>
  <x:si>
    <x:r>
      <x:t>[12사탐03-02]인공지능 발전 과정에서 나타날 수 있는 다양한 사회문제를 탐색하고,대응 방안을 제시한다.</x:t>
    </x:r>
  </x:si>
  <x:si>
    <x:t>성취기준 코드</x:t>
  </x:si>
  <x:si>
    <x:r>
      <x:t>[12기지01-01]지구적 차원에서 나타나는 기후변화의 심각성을 사례를 통해 파악하고,기후변화를바라보는 관점의 다양성을 이해한다.</x:t>
    </x:r>
  </x:si>
  <x:si>
    <x:t>기후변화 문제와 관련하여 국가 차원의 대응으로서 정치,사회,경제 영역에서의 생태전환을 위한 실천 사례를 조사하고,이를 분석 평가한다.</x:t>
  </x:si>
  <x:si>
    <x:r>
      <x:t>[12기지02-01]세계 여러 지역에서 발생하고 있는 기후재난의 실제를 파악하고,이를 둘러싼 쟁점을 다양한 자료를 통하여 분석한다.</x:t>
    </x:r>
  </x:si>
  <x:si>
    <x:r>
      <x:t>[12경제01-01]인간 생활에서 자원의 희소성으로 인해 발생하는 경제 문제의 중요성을 인식하고,경제학의 분석 대상과 성격을 이해한다.</x:t>
    </x:r>
  </x:si>
  <x:si>
    <x:r>
      <x:t>[12경제04-03]외환 시장에서 환율의 결정 원리를 이해하고,환율 변동이 국가 경제와 개인의 경제생활에 미치는 영향을 탐구한다.</x:t>
    </x:r>
  </x:si>
  <x:si>
    <x:t>기후변화의 영향은 지리적 조건 및 사회적⋅경제적 조건에 따라 차별적으로 나타나고 있음을 이해하고,이와 관련한 쟁점과 사례를 조사한다.</x:t>
  </x:si>
  <x:si>
    <x:t>[12법사02-03]</x:t>
  </x:si>
  <x:si>
    <x:t>[12법사02-01]</x:t>
  </x:si>
  <x:si>
    <x:t>[12법사02-04]</x:t>
  </x:si>
  <x:si>
    <x:t>[12법사02-02]</x:t>
  </x:si>
  <x:si>
    <x:t>성취기준 세부내용</x:t>
  </x:si>
  <x:si>
    <x:t>[12세지01-01]</x:t>
  </x:si>
  <x:si>
    <x:t>[12세지01-03]</x:t>
  </x:si>
  <x:si>
    <x:t>[12세지01-02]</x:t>
  </x:si>
  <x:si>
    <x:r>
      <x:t>[12동역03-01]동아시아 지역에서 전개된 제국주의 열강의 침략 전쟁을 탐구한다.</x:t>
    </x:r>
  </x:si>
  <x:si>
    <x:r>
      <x:t>[12동역03-02]아시아⋅태평양 전쟁과 이에 대한 저항과 연대의 움직임을 파악한다.</x:t>
    </x:r>
  </x:si>
  <x:si>
    <x:t>[12법사03-01]</x:t>
  </x:si>
  <x:si>
    <x:t>[12법사03-03]</x:t>
  </x:si>
  <x:si>
    <x:t>[12법사03-02]</x:t>
  </x:si>
  <x:si>
    <x:t>[12도탐02-01]</x:t>
  </x:si>
  <x:si>
    <x:t>[12도탐02-04]</x:t>
  </x:si>
  <x:si>
    <x:t>[12도탐02-02]</x:t>
  </x:si>
  <x:si>
    <x:t>[12도탐02-03]</x:t>
  </x:si>
  <x:si>
    <x:t>[12세사03-02]</x:t>
  </x:si>
  <x:si>
    <x:t>[12세사03-01]</x:t>
  </x:si>
  <x:si>
    <x:t>[12세사03-04]</x:t>
  </x:si>
  <x:si>
    <x:t>[12세사03-03]</x:t>
  </x:si>
  <x:si>
    <x:t>[12법사04-01]</x:t>
  </x:si>
  <x:si>
    <x:t>[12법사04-02]</x:t>
  </x:si>
  <x:si>
    <x:t>[12법사04-03]</x:t>
  </x:si>
  <x:si>
    <x:t>[12여지02-01]</x:t>
  </x:si>
  <x:si>
    <x:t>[12여지02-03]</x:t>
  </x:si>
  <x:si>
    <x:t>[12여지02-04]</x:t>
  </x:si>
  <x:si>
    <x:t>[12여지02-02]</x:t>
  </x:si>
  <x:si>
    <x:t>우리나라 헌법의 기본 원리와 기본권 내용을 이해하고,기본권 제한의 요건과 한계를 탐구한다.</x:t>
  </x:si>
  <x:si>
    <x:t>[12사문03-03]</x:t>
  </x:si>
  <x:si>
    <x:t>[12사문03-04]</x:t>
  </x:si>
  <x:si>
    <x:t>[12사문03-01]</x:t>
  </x:si>
  <x:si>
    <x:t>[12사문03-02]</x:t>
  </x:si>
  <x:si>
    <x:t>[12도탐03-02]</x:t>
  </x:si>
  <x:si>
    <x:t>[12도탐03-01]</x:t>
  </x:si>
  <x:si>
    <x:t>[12도탐03-03]</x:t>
  </x:si>
  <x:si>
    <x:t>[12경제03-03]</x:t>
  </x:si>
  <x:si>
    <x:t>[12사탐03-02]</x:t>
  </x:si>
  <x:si>
    <x:t>[12사탐03-01]</x:t>
  </x:si>
  <x:si>
    <x:t>[12경제03-02]</x:t>
  </x:si>
  <x:si>
    <x:t>[12경제03-01]</x:t>
  </x:si>
  <x:si>
    <x:r>
      <x:t>[10통사2-03-04]자원,노동,자본의 지역 분포에 따른 국제 분업과 무역의 필요성을 이해하고,지속가능발전에 기여하는 국제무역의 방안을 탐색한다.</x:t>
    </x:r>
  </x:si>
  <x:si>
    <x:r>
      <x:t>[12사문03-02]미디어의 효과에 대한 이해를 바탕으로 미디어가 생산하는 메시지를 비판적으로 분석하고 대안적 메시지 생산에 능동적으로 참여한다.</x:t>
    </x:r>
  </x:si>
  <x:si>
    <x:r>
      <x:t>[12역현04-01]국제 분쟁 및 무력 갈등의 원인과 전개 양상을 사례 중심으로 파악한다.</x:t>
    </x:r>
  </x:si>
  <x:si>
    <x:t>다문화 사회의 현황을 조사하고,문화적 다양성을 존중하는 태도를 바탕으로 갈등 해결 방안을 모색한다.</x:t>
  </x:si>
  <x:si>
    <x:t>국제 문제를 해결하기 위한 다양한 행위 주체의 활동을 탐색하고,그 성과와 문제점에대하여 토론한다.</x:t>
  </x:si>
  <x:si>
    <x:t>[12여지03-03]문화 창조,첨단 기술과 같은 새로움을 지향하는 지역의 사례를 조사하고,내가 살고있는 지역의 로컬 큐레이터로서 다양한 여행 콘텐츠의 발굴과 모니터링을 통해 지역의의미와 가치를 탐색한다.</x:t>
  </x:si>
  <x:si>
    <x:t>[12세지02-01]</x:t>
  </x:si>
  <x:si>
    <x:t>[12세지02-02]</x:t>
  </x:si>
  <x:si>
    <x:t>[12세지02-03]</x:t>
  </x:si>
  <x:si>
    <x:t>[12세지02-04]</x:t>
  </x:si>
  <x:si>
    <x:t>통합사회1</x:t>
  </x:si>
  <x:si>
    <x:t>기본적인 금융 투자 상품의 종류와 특징을 이해하고 투자에 영향을 미치는 요인을 탐구한다.</x:t>
  </x:si>
  <x:si>
    <x:r>
      <x:t>[12세사02-02]유럽의 신항로 개척과 재정⋅군사 국가의 성립이 가져온 변화를 분석한다.</x:t>
    </x:r>
  </x:si>
  <x:si>
    <x:t>개방된 국제 사회에서 국제 거래를 파악하고,국가 간 상호 의존성이 증대하고 있음을이해한다.</x:t>
  </x:si>
  <x:si>
    <x:t>다문화 사회의 갈등 문제를 역사적으로 파악하고,이를 해결하기 위해 노력한 사례를 조사한다.</x:t>
  </x:si>
  <x:si>
    <x:t>여행지리</x:t>
  </x:si>
  <x:si>
    <x:t>사회와 문화</x:t>
  </x:si>
  <x:si>
    <x:t>[10통사1-05-03]</x:t>
  </x:si>
  <x:si>
    <x:t>[10통사1-05-01]</x:t>
  </x:si>
  <x:si>
    <x:t>[10통사1-05-02]</x:t>
  </x:si>
  <x:si>
    <x:t>[12국관03-03]역동적인 국제 관계 속에서 우리나라가 당면한 평화와 안전의 문제를 파악하고,평화와안전을 도모할 수 있는 구체적인 방안에 대하여 토론한다.</x:t>
  </x:si>
  <x:si>
    <x:t>수도권 집중에 따른 지방소멸과 국토 불균등 발전 문제에 대한 인식을 바탕으로 국가 및 지역 수준의 국토균형발전 방안을 제안하고 실현 가능성을 평가한다.</x:t>
  </x:si>
  <x:si>
    <x:t>[12국관04-02]</x:t>
  </x:si>
  <x:si>
    <x:t>[12국관04-01]</x:t>
  </x:si>
  <x:si>
    <x:t>[12국관04-03]</x:t>
  </x:si>
  <x:si>
    <x:t>세계시민과 지리</x:t>
  </x:si>
  <x:si>
    <x:r>
      <x:t>[12세사02-01]이슬람 세계와 몽골 제국의 팽창에 따른 교류 양상을 파악한다.</x:t>
    </x:r>
  </x:si>
  <x:si>
    <x:r>
      <x:t>[12세사03-02]미국 혁명,프랑스 혁명을 시민 사회 형성과 관련지어 파악한다.</x:t>
    </x:r>
  </x:si>
  <x:si>
    <x:t>아시아와 아프리카 지역에서 전개된 국민 국가 건설 운동의 양상과 성격을 비교한다.</x:t>
  </x:si>
  <x:si>
    <x:t>북한의 지리적 특징과 당면과제에 대한 이해를 바탕으로 남북협력의 가능성을 모색한다.</x:t>
  </x:si>
  <x:si>
    <x:r>
      <x:t>[12세사04-01]제1⋅2차 세계 대전을 인권,과학 기술 문제와 관련지어 파악한다.</x:t>
    </x:r>
  </x:si>
  <x:si>
    <x:r>
      <x:t>[12세사04-02]냉전의 전개 양상에 따라 나타난 사회,문화의 변화를 분석한다.</x:t>
    </x:r>
  </x:si>
  <x:si>
    <x:t>서아시아,지중해,유럽 세계의 형성과 문화적 특징을 종교의 확산과 관련지어 분석한다.</x:t>
  </x:si>
  <x:si>
    <x:r>
      <x:t>[12역현02-01]제2차 세계 대전 이후 인권⋅평화를 위한 국제 사회의 노력과 한계를 파악한다.</x:t>
    </x:r>
  </x:si>
  <x:si>
    <x:r>
      <x:t>[12역현02-02]냉전 시기 열전의 전개 양상을 찾아보고,전쟁 당사국의 전쟁 경험을 비교한다.</x:t>
    </x:r>
  </x:si>
  <x:si>
    <x:r>
      <x:t>[12역현01-01]현대 세계를 전후 체제 형성의 역사를 중심으로 파악한다.</x:t>
    </x:r>
  </x:si>
  <x:si>
    <x:t>이슬람과 유럽 세력의 참여를 통해 확대된 동아시아 교류의 모습을 탐구한다.</x:t>
  </x:si>
  <x:si>
    <x:t>국내외 분쟁과 갈등을 해결하기 위한 역사 정책 사례를 탐구한다.</x:t>
  </x:si>
  <x:si>
    <x:r>
      <x:t>[12사탐01-01]사회문제의 의미와 특징을 이해하고,사회문제를 바라보는 주요 관점을 비교한다.</x:t>
    </x:r>
  </x:si>
  <x:si>
    <x:t>개인과 공동체의 관계를 기준으로 다양한 정의관을 비교하고,이를 구체적인 사례에적용하여 설명한다.</x:t>
  </x:si>
  <x:si>
    <x:t>입법부,행정부,사법부의 역할을 이해하고,이들 간의 상호 관계를 권력 분립의 원리에기초하여 분석한다.</x:t>
  </x:si>
  <x:si>
    <x:t>세계의 다양한 음식과 축제를 지리적으로 설명하고,문화 다양성을 보존하기 위한 방법을 모색한다.</x:t>
  </x:si>
  <x:si>
    <x:t>정의의 의미와 정의가 요구되는 이유를 파악하고,다양한 사례를 통해 정의의 실질적기준을 탐구한다.</x:t>
  </x:si>
  <x:si>
    <x:t>저축의 경제적 의의와 다양한 저축 상품의 특징을 이해하고 저축에 영향을 미치는 요인을 탐구한다.</x:t>
  </x:si>
  <x:si>
    <x:t>정부를 비롯한 공공 부문의 경제적 역할을 이해하고,조세,공공재 등과 같이 시장의 자원 배분에 개입하는 사례를 탐구한다.</x:t>
  </x:si>
  <x:si>
    <x:r>
      <x:t>[12경제03-02]경제 성장의 의미와 요인을 이해하고,한국 경제의 변화와 경제적 성과를 균형 있는 시각에서 평가한다.</x:t>
    </x:r>
  </x:si>
  <x:si>
    <x:t>한반도를 둘러싼 국가 간 경계와 접경지역을 분석하고,동아시아 지역의 발전과 평화⋅공존을 위한 지정학적 전략을 토론한다.</x:t>
  </x:si>
  <x:si>
    <x:r>
      <x:t>[12국관01-03]국제 문제를 해결하기 위한 다양한 행위 주체의 활동을 탐색하고,그 성과와 문제점에대하여 토론한다.</x:t>
    </x:r>
  </x:si>
  <x:si>
    <x:r>
      <x:t>[12한탐02-02]핫 플레이스의 특징,생성과정,정체성 이슈를 조사하고,지역 자원을 활용한 관광활성화 방안을 제안한다.</x:t>
    </x:r>
  </x:si>
  <x:si>
    <x:r>
      <x:t>[12정치04-04]국제 사회에서 발생하는 다양한 갈등의 원인을 분석하고 세계시민으로서 갈등을 해결하는 자세를 갖는다.</x:t>
    </x:r>
  </x:si>
  <x:si>
    <x:r>
      <x:t>[12법사01-01]가족관계와 관련된 기본적인 내용인 혼인,출생,상속 등을 이해하고,이를 일상생활의사례에 적용한다.</x:t>
    </x:r>
  </x:si>
  <x:si>
    <x:t>비교 우위에 따른 특화와 교역을 중심으로 무역 원리를 이해하고,자유 무역과 보호 무역 정책의 경제적 효과를 설명한다.</x:t>
  </x:si>
  <x:si>
    <x:t>다양한 여행 사례와 자신의 여행 경험을 통해 여행의 의미를 파악하고 여행이 삶과세계 인식에 미치는 영향을 토의한다.</x:t>
  </x:si>
  <x:si>
    <x:r>
      <x:t>[12금융04-02]위험 관리의 필요성과 위험 관리 방법으로서 보험의 원리를 이해하고,주요 보험 상품의 특징을 비교한다.</x:t>
    </x:r>
  </x:si>
  <x:si>
    <x:t>법원과 헌법재판소의 법적 문제 해결 과정을 탐구하고,사법의 의미와 한계를 인식하여입법론적 해결이 필요한 경우를 탐구한다.</x:t>
  </x:si>
  <x:si>
    <x:r>
      <x:t>[12금융03-01]저축의 경제적 의의와 다양한 저축 상품의 특징을 이해하고 저축에 영향을 미치는 요인을 탐구한다.</x:t>
    </x:r>
  </x:si>
  <x:si>
    <x:r>
      <x:t>[12금융02-02]소비 지출과 비소비 지출을 구분하고 지출에 영향을 미치는 요인을 파악하여 합리적인 소비를 실천한다.</x:t>
    </x:r>
  </x:si>
  <x:si>
    <x:t>학교폭력의 해결 과정을 살펴보며,학교생활에서 발생하였거나 발생할 수 있는 법적 문제를 발견하고 그 해결 방안을 탐구한다.</x:t>
  </x:si>
  <x:si>
    <x:r>
      <x:t>[12여지02-01]인간의 정주공간으로서의 도시를 새로운 관점에서 낯설게 바라보고,여행지로서의 향유가능성을 탐색한다.</x:t>
    </x:r>
  </x:si>
  <x:si>
    <x:r>
      <x:t>[12한탐01-01]다양한 현상에 대해 지리적 관점으로 질문을 던지고,질문에 답을 하기 위한 탐구 계획을 수립한다.</x:t>
    </x:r>
  </x:si>
  <x:si>
    <x:r>
      <x:t>[12도탐02-02]문화 자산을 활용한 도시 브랜딩과 건축이 도시의 경관과 도시에 대한 인식 변화에미친 영향을 탐구한다.</x:t>
    </x:r>
  </x:si>
  <x:si>
    <x:t>시대와 지역에 따라 다르게 나타나는 행복의 기준을 사례를 통해 비교하여 평가하고,삶의 목적으로서 행복의 의미를 성찰한다.</x:t>
  </x:si>
  <x:si>
    <x:r>
      <x:t>[12도탐02-03]서비스업의 성장과 소비주의 심화가 도시 경제와 도시의 경관,생활양식 변화에 미친 영향을 분석한다.</x:t>
    </x:r>
  </x:si>
  <x:si>
    <x:r>
      <x:t>[12도탐01-01]도시의 의미를 이해하고,도시의 특성이 도시적 생활양식에 미치는 영향을 일상 공간을사례로 탐구한다.</x:t>
    </x:r>
  </x:si>
  <x:si>
    <x:t>지속가능성과 회복력이 높은 도시가 되기 위한 요건에 대해 토의하고 이와 관련한 도시계획 및 도시 혁신 사례를 탐구한다.</x:t>
  </x:si>
  <x:si>
    <x:t>다양한 지정학적 분쟁을 국제 정세의 변화와 관련지어 조사하고,세계 평화와 정의에 기여할 수 있는 방안을 찾아 실천한다.</x:t>
  </x:si>
  <x:si>
    <x:r>
      <x:t>[12정치01-03]민주 정치의 역사적 발전 과정을 이해하고,현대 민주 정치의 다양한 사상적 배경을 비교⋅분석한다.</x:t>
    </x:r>
  </x:si>
  <x:si>
    <x:t>인간 생활에서 자원의 희소성으로 인해 발생하는 경제 문제의 중요성을 인식하고,경제학의 분석 대상과 성격을 이해한다.</x:t>
  </x:si>
  <x:si>
    <x:t>세계의 인구 분포와 구조 등에 대한 이해를 토대로 현재와 미래의 인구 문제 양상을파악하고,그 해결 방안을 제안한다.</x:t>
  </x:si>
  <x:si>
    <x:r>
      <x:t>[12정치03-03]입법부,행정부,사법부의 역할을 이해하고,이들 간의 상호 관계를 권력 분립의 원리에기초하여 분석한다.</x:t>
    </x:r>
  </x:si>
  <x:si>
    <x:t>사회 및 공간 불평등 현상의 사례를 조사하고,정의로운 사회를 만들기 위한 다양한제도와 시민으로서의 실천 방안을 제안한다.</x:t>
  </x:si>
  <x:si>
    <x:t>정치의 의미와 공동체 유지 발전에 정치가 필요한 이유를 이해하고,일상생활에서 나타나는 정치의 사례를 찾아 분석한다.</x:t>
  </x:si>
  <x:si>
    <x:t>지리정보기술이 세계시민의 삶과 연계되는 다양한 모습을 이해하고,지리적 문제 해결및 의사 결정에 활용되는 사례를 조사한다.</x:t>
  </x:si>
  <x:si>
    <x:r>
      <x:t>[10통사1-01-01]인간,사회,환경을 바라보는 시간적,공간적,사회적,윤리적 관점의 의미와 특징을사례를 통해 파악한다.</x:t>
    </x:r>
  </x:si>
  <x:si>
    <x:t>남북 분단과 동아시아의 역사 갈등 상황을 분석하고,이를 토대로 우리나라가 세계 평화에 기여할 수 있는 방안을 제안한다.</x:t>
  </x:si>
  <x:si>
    <x:r>
      <x:t>[10통사2-02-02]개인과 공동체의 관계를 기준으로 다양한 정의관을 비교하고,이를 구체적인 사례에적용하여 설명한다.</x:t>
    </x:r>
  </x:si>
  <x:si>
    <x:r>
      <x:t>[12정치03-04]중앙 정부와의 관계 속에서 지방 자치의 의의를 이해하고,우리나라 지방 자치의 현실과 과제를 탐구한다.</x:t>
    </x:r>
  </x:si>
  <x:si>
    <x:r>
      <x:t>[10통사2-02-01]정의의 의미와 정의가 요구되는 이유를 파악하고,다양한 사례를 통해 정의의 실질적기준을 탐구한다.</x:t>
    </x:r>
  </x:si>
  <x:si>
    <x:t>평화의 관점에서 국제 사회의 갈등과 협력의 사례를 조사하고,세계 평화를 위한 행위 주체의 바람직한 역할을 탐색한다.</x:t>
  </x:si>
  <x:si>
    <x:r>
      <x:t>[10통사1-03-02]자연에 대한 인간의 다양한 관점을 사례를 통해 비교하고,인간과 자연의 바람직한 관계를 제안한다.</x:t>
    </x:r>
  </x:si>
  <x:si>
    <x:r>
      <x:t>[12세지01-02]지역 통합과 분리 현상의 사례와 주요 원인을 탐구하고,이를 바탕으로 지역 변화의 역동성을 파악한다.</x:t>
    </x:r>
  </x:si>
  <x:si>
    <x:r>
      <x:t>[12한탐04-04]우리나라의 에너지원별 발전에 관한 주요 쟁점을 조사하고,탄소중립 달성을 위한 에너지 정책을 제안한다.</x:t>
    </x:r>
  </x:si>
  <x:si>
    <x:t>산업화,도시화로 인해 나타난 생활공간과 생활양식의 변화 양상을 조사하고,이에 따른 문제점의 해결 방안을 제안한다.</x:t>
  </x:si>
  <x:si>
    <x:r>
      <x:t>[12경제04-01]개방된 국제 사회에서 국제 거래를 파악하고,국가 간 상호 의존성이 증대하고 있음을이해한다.</x:t>
    </x:r>
  </x:si>
  <x:si>
    <x:r>
      <x:t>[12역현01-02]학습자가 생각하는 현대 세계의 과제를 선정⋅조사하고 그 특징을 분석한다.</x:t>
    </x:r>
  </x:si>
  <x:si>
    <x:t>수요와 공급에 의한 시장 균형의 결정과 변동 원리를 파악하고,이를 다양한 시장에 적용한다.</x:t>
  </x:si>
  <x:si>
    <x:t>예산의 의미와 예산 관리 방법을 이해하고 자신의 금융 생활에서 예산을 수립⋅점검⋅평가한다.</x:t>
  </x:si>
  <x:si>
    <x:t>우리나라를 둘러싼 국제 관계를 이해하고,외교적 관점에서 한반도를 둘러싼 국제질서를 분석한다.</x:t>
  </x:si>
  <x:si>
    <x:t>탐구 계획에 적합한 자료 수집 방법을 적용하여 자신이 선정한 사회문제에 관한 자료를수집한다.</x:t>
  </x:si>
  <x:si>
    <x:t>가족관계와 관련된 기본적인 내용인 혼인,출생,상속 등을 이해하고,이를 일상생활의사례에 적용한다.</x:t>
  </x:si>
  <x:si>
    <x:t>핫 플레이스의 특징,생성과정,정체성 이슈를 조사하고,지역 자원을 활용한 관광활성화 방안을 제안한다.</x:t>
  </x:si>
  <x:si>
    <x:t>[12경제04-01]</x:t>
  </x:si>
  <x:si>
    <x:t>[12역현05-01]</x:t>
  </x:si>
  <x:si>
    <x:t>[12역현05-02]</x:t>
  </x:si>
  <x:si>
    <x:t>[12역현05-03]</x:t>
  </x:si>
  <x:si>
    <x:t>[12금융03-01]</x:t>
  </x:si>
  <x:si>
    <x:t>[12역현03-02]</x:t>
  </x:si>
  <x:si>
    <x:t>[12역현03-03]</x:t>
  </x:si>
  <x:si>
    <x:t>[12역현03-01]</x:t>
  </x:si>
  <x:si>
    <x:t>[12금융03-02]</x:t>
  </x:si>
  <x:si>
    <x:t>[12금융03-03]</x:t>
  </x:si>
  <x:si>
    <x:t>[12경제04-02]</x:t>
  </x:si>
  <x:si>
    <x:t>[12정치03-03]</x:t>
  </x:si>
  <x:si>
    <x:t>[12경제04-03]</x:t>
  </x:si>
  <x:si>
    <x:t>[12정치03-04]</x:t>
  </x:si>
  <x:si>
    <x:t>[12정치03-02]</x:t>
  </x:si>
  <x:si>
    <x:t>[12정치03-01]</x:t>
  </x:si>
  <x:si>
    <x:r>
      <x:t>[12정치01-01]정치의 의미와 공동체 유지 발전에 정치가 필요한 이유를 이해하고,일상생활에서 나타나는 정치의 사례를 찾아 분석한다.</x:t>
    </x:r>
  </x:si>
  <x:si>
    <x:r>
      <x:t>[12도탐01-02]도시의 발달과정에 대한 이해를 바탕으로 하여 다양한 유형의 도시를 비교하고,내가 사는 도시의 발달과정을 탐구한다.</x:t>
    </x:r>
  </x:si>
  <x:si>
    <x:r>
      <x:t>[12동역04-02]경제 및 대중문화 교류가 확대되는 모습을 이해하고,다문화 사회의 현실을 파악하여 공존을 위한 노력을 모색한다.</x:t>
    </x:r>
  </x:si>
  <x:si>
    <x:r>
      <x:t>[12사문04-01]사회 불평등 현상을 이해하는 서로 다른 관점을 비교하고,사회 이동과 사회 계층 구조의 유형 및 특징을 분석한다.</x:t>
    </x:r>
  </x:si>
  <x:si>
    <x:t>사회현상의 탐구를 위해 사회현상의 특징에 대한 이해와 사회학적 상상력이 필요함을 인식하고,사회현상에 대한 다양한 관점을 비교한다.</x:t>
  </x:si>
  <x:si>
    <x:t>문화 변동의 다양한 요인과 양상,문화 변동 과정에서 발생하는 문제점을 이해하고,문화의 세계화로 인해 나타나는 쟁점에 대해 탐구한다.</x:t>
  </x:si>
  <x:si>
    <x:r>
      <x:t>[10통사1-03-03]환경 문제 해결을 위한 정부,시민사회,기업 등의 다양한 노력을 조사하고,생태시민으로서 실천 방안을 모색한다.</x:t>
    </x:r>
  </x:si>
  <x:si>
    <x:r>
      <x:t>[12한탐03-02]식생활 변화 및 세계화에 따른 우리나라 농업의 변화를 이해하고,지속가능한 농업과 농촌을 위한 정책을 제안한다.</x:t>
    </x:r>
  </x:si>
  <x:si>
    <x:r>
      <x:t>[12세지02-01]세계의 다양한 기후에 대한 이해를 바탕으로 기후를 활용하거나 극복한 사례를 찾아 인간 생활과의 관계를 탐색한다.</x:t>
    </x:r>
  </x:si>
  <x:si>
    <x:r>
      <x:t>[10통사2-05-03]미래 사회의 모습을 다양한 측면에서 예측하고,이를 바탕으로 세계시민으로서 자신의 미래 삶의 방향을 설정한다.</x:t>
    </x:r>
  </x:si>
  <x:si>
    <x:r>
      <x:t>[12한탐01-02]야외조사 및 지리정보기술을 활용한 데이터 수집방법을 연습하고,탐구 질문에 맞춰 데이터를 수집,분석,시각화한다.</x:t>
    </x:r>
  </x:si>
  <x:si>
    <x:t>행복한 삶을 실현하기 위한 조건으로 질 높은 정주 환경의 조성,경제적 안정,민주주의 발전 및 도덕적 실천의 필요성에 관해 탐구한다.</x:t>
  </x:si>
  <x:si>
    <x:t>우리나라 및 우리 지역에서 주로 발생하는 자연재해의 유형과 특징을 분석하고,이를 토대로 자연재해의 경감 대책을 조사하고 평가한다.</x:t>
  </x:si>
  <x:si>
    <x:t>[12도탐03-01]도시의 환경 문제와 재난은 자연적 요인과 사회적 요인이 복합적으로 작용하여 발생하고있음을 사례를 통해 파악하고,이를 공간 정의의 관점에서 분석하여 해결 방안을탐색한다.</x:t>
  </x:si>
  <x:si>
    <x:t>[10통사2-01-01]근대 시민 혁명 등을 통해 확립되어 온 인권의 의미와 변화 양상을 이해하고,현대사회에서 주거,안전,환경,문화 등 다양한 영역으로 인권이 확장되고 있는 사례를 조사한다.</x:t>
  </x:si>
  <x:si>
    <x:t>하위문화와 주류 문화의 관계에 대한 이해를 바탕으로 다문화 사회의 이주민 문화에대한 서로 다른 관점을 비교하고,이주민 문화가 갖는 의의에 기초하여 문화 다양성을 증진하기 위한 방안을 제시한다.</x:t>
  </x:si>
  <x:si>
    <x:t>[12도탐02-04]첨단 산업과 모빌리티의 발달이 도시의 성장과 쇠퇴에 미치는 영향을 조사하고,정보통신기술의 발달로 출현하고 있는 스마트 도시를 사례로 살고 싶은 도시의 미래 모습을 예측한다.</x:t>
  </x:si>
  <x:si>
    <x:t>[12법사01-03]물권 관계와 관련된 기본적인 내용인 부동산⋅동산에 관한 권리의 기능과 특징,권리와의무로 구성되는 법(률)관계를 이해하고,이를 일상생활의 사례에 적용하여 법적 문제를해결한다.</x:t>
  </x:si>
  <x:si>
    <x:t>경기 변동의 의미와 요인을 이해하고,경기 안정화 방안으로 재정 정책과 통화 정책을 분석한다.</x:t>
  </x:si>
  <x:si>
    <x:t>인공지능 발전 과정에서 나타날 수 있는 다양한 사회문제를 탐색하고,대응 방안을 제시한다.</x:t>
  </x:si>
  <x:si>
    <x:t>국제 사회에서 발생하는 다양한 갈등의 원인을 분석하고 세계시민으로서 갈등을 해결하는 자세를 갖는다.</x:t>
  </x:si>
  <x:si>
    <x:t>자연에 대한 인간의 다양한 관점을 사례를 통해 비교하고,인간과 자연의 바람직한 관계를 제안한다.</x:t>
  </x:si>
  <x:si>
    <x:t>지역 통합과 분리 현상의 사례와 주요 원인을 탐구하고,이를 바탕으로 지역 변화의 역동성을 파악한다.</x:t>
  </x:si>
  <x:si>
    <x:t>[10통사2-01-03]사회적 소수자 차별,청소년의 노동권 등 국내 인권 문제와 인권지수를 통해 확인할 수 있는 세계 인권 문제의 양상을 조사하고,이에 대한 해결 방안을 모색한다.</x:t>
  </x:si>
  <x:si>
    <x:t>현대 세계의 과제를 해결하기 위해 인류가 기울여온 노력을 탐구한다.</x:t>
  </x:si>
  <x:si>
    <x:t>제1⋅2차 세계 대전을 인권,과학 기술 문제와 관련지어 파악한다.</x:t>
  </x:si>
  <x:si>
    <x:r>
      <x:t>[10통사1-01-02]인간,사회,환경의 탐구에 통합적 관점이 요청되는 이유를 도출하고 이를 탐구에 적용한다.</x:t>
    </x:r>
  </x:si>
  <x:si>
    <x:r>
      <x:t>[12역현05-02]다문화 사회의 갈등 문제를 역사적으로 파악하고,이를 해결하기 위해 노력한 사례를 조사한다.</x:t>
    </x:r>
  </x:si>
  <x:si>
    <x:r>
      <x:t>[12법사04-01]학생과 청소년이 누릴 수 있는 권리와 의무를 이해하고,이를 학교와 일상생활의 사례에적용한다.</x:t>
    </x:r>
  </x:si>
  <x:si>
    <x:t>미래 사회의 모습을 다양한 측면에서 예측하고,이를 바탕으로 세계시민으로서 자신의 미래 삶의 방향을 설정한다.</x:t>
  </x:si>
  <x:si>
    <x:r>
      <x:t>[10통사2-04-01]세계화의 다양한 양상을 살펴보고,세계화 시대의 문제점과 그에 대한 해결 방안을 제안한다.</x:t>
    </x:r>
  </x:si>
  <x:si>
    <x:t>[10통사2-03-03]</x:t>
  </x:si>
  <x:si>
    <x:t>[10통사2-03-01]</x:t>
  </x:si>
  <x:si>
    <x:t>[10통사2-03-04]</x:t>
  </x:si>
  <x:si>
    <x:t>[10통사2-03-02]</x:t>
  </x:si>
  <x:si>
    <x:t>[12세지03-02]주요 식량 자원의 생산과 소비 양상을 통해 세계 식량 문제가 발생하는 구조적 원인을파악하고,식량의 안정적인 생산과 공급을 위한 각국의 대응 전략을 비교⋅분석한다.</x:t>
  </x:si>
  <x:si>
    <x:t>[12세지03-03]초국적 기업을 중심으로 한 글로벌 경제 체제의 형성 과정을 탐색하고,글로벌 경제에서의공간적 불균등을 해소하기 위한 국제적 협력과 개인적 실천 방안에 대해 조사한다.</x:t>
  </x:si>
  <x:si>
    <x:t>[12한탐03-01]통계 자료를 활용해 우리나라 인구 및 가구구조의 변화를 시각화 및 분석하고,저출생,고령화,다문화 가구의 증가에 대응하기 위한 방안을 모색한다.</x:t>
  </x:si>
  <x:si>
    <x:t>초국적 기업을 중심으로 한 글로벌 경제 체제의 형성 과정을 탐색하고,글로벌 경제에서의공간적 불균등을 해소하기 위한 국제적 협력과 개인적 실천 방안에 대해 조사한다.</x:t>
  </x:si>
  <x:si>
    <x:t>[10통사2-01-02]인간 존엄성 실현과 인권 보장을 위한 헌법의 역할을 파악하고,시민의 권익을 보호하기 위한 다양한 시민 참여의 방안을 탐구하고 이를 실천한다.</x:t>
  </x:si>
  <x:si>
    <x:t>[12기지01-02]기후변화는 자연적 요인뿐만 아니라 인간의 다양한 활동 및 산업과 관련되어 있다는 점을 이해하고,탄소중립을 위한 사회 변화의 방향을 탐구한다.</x:t>
  </x:si>
  <x:si>
    <x:t>[10통사2-03-02]합리적 선택의 의미와 그 한계를 파악하고,지속가능발전을 위해 요청되는 정부,기업가,노동자,소비자의 바람직한 역할과 책임에 관해 탐구한다.</x:t>
  </x:si>
  <x:si>
    <x:t>모빌리티와 모바일,빅 데이터,플랫폼의 결합이 시⋅공간 활용에 미치는 영향을 설명하고,모빌리티 공유서비스가 일상생활에 미친 영향과 문제점을 조사해 대안을 제시한다.</x:t>
  </x:si>
  <x:si>
    <x:t>식품의 생산,유통,소비과정을 조사함으로써 음식을 통한 생산자와 소비자,상품,장소의 연결성을 이해하고,상품사슬을 조직하는 윤리적인 방식의 가능성과 한계를 파악한다.</x:t>
  </x:si>
  <x:si>
    <x:t>[12사문01-04]사회현상의 탐구에서 발생하는 연구자의 가치 개입 및 연구 윤리 관련 쟁점을 토론하고,연구 윤리를 준수하며 사회현상에 대한 탐구를 수행한다.</x:t>
  </x:si>
  <x:si>
    <x:t>주요 식량 자원의 생산과 소비 양상을 통해 세계 식량 문제가 발생하는 구조적 원인을파악하고,식량의 안정적인 생산과 공급을 위한 각국의 대응 전략을 비교⋅분석한다.</x:t>
  </x:si>
  <x:si>
    <x:t>도시의 공공성을 높이기 위한 도시 정치의 중요성을 이해하고,도시를 만들어가는 주체로서 시민이 가져야 할 바람직한 태도를 함양하여 도시 정치에 적극적으로 참여한다.</x:t>
  </x:si>
  <x:si>
    <x:t>도시화,농업,관광지 개발로 인한 산지,하천,해안지역의 변화를 조사하고,환경과 개발에 대한 관점이 자연환경의 복원 및 지속가능한 활용에 미치는 영향을 파악한다.</x:t>
  </x:si>
  <x:si>
    <x:t>[12법사04-03]법적 문제를 해결하는데 필요한 법,조약,판례,입법자료 등을 찾아보고,민주시민으로서 나와 사회가 당면한 사회적 논의에 참여하는 태도를 가진다.</x:t>
  </x:si>
  <x:si>
    <x:t>[12기지04-01]지속가능발전목표(SDGs)의 의미를 이해하고,이의 실천과 관련한 지역 사례들을 조사하여 환경적,경제적,사회적 측면에서 통합적으로 분석한다.</x:t>
  </x:si>
  <x:si>
    <x:t>[12금융01-03]안전한 금융 거래를 위한 계약(약관)의 중요성을 인식하고,금융 사기 예방과 피해 구제를 위해 마련된 주요 금융 소비자 보호 제도를 탐구한다.</x:t>
  </x:si>
  <x:si>
    <x:t>[12사탐04-01]일상생활에서 경험하는 사회문제 중 하나를 선정하여 해당 문제에 대한 다양한 관점을비교하고,이를 바탕으로 문제 해결을 위한 탐구 계획을 수립한다.</x:t>
  </x:si>
  <x:si>
    <x:t>[12기지03-01]기후변화 대응을 위한 국제 사회의 협력과 시민사회의 노력 사례를 조사하고 기후변화를 둘러싼 이해당사자들의 서로 다른 입장과 가치를 비교한다.</x:t>
  </x:si>
  <x:si>
    <x:t>역동적인 국제 관계 속에서 우리나라가 당면한 평화와 안전의 문제를 파악하고,평화와안전을 도모할 수 있는 구체적인 방안에 대하여 토론한다.</x:t>
  </x:si>
  <x:si>
    <x:t>기후변화는 자연적 요인뿐만 아니라 인간의 다양한 활동 및 산업과 관련되어 있다는 점을 이해하고,탄소중립을 위한 사회 변화의 방향을 탐구한다.</x:t>
  </x:si>
  <x:si>
    <x:r>
      <x:t>[12사탐01-02]사회문제에 대한 과학적 탐구의 필요성을 설명하고,사회문제 탐구를 위한 연구 방법과다양한 자료 수집 방법의 특징을 비교한다.</x:t>
    </x:r>
  </x:si>
  <x:si>
    <x:t>인간은 경제적 유인에 반응함을 인식하고,편익과 비용을 고려하여 합리적으로 선택하는 능력과 한계 분석을 이용한 의사 결정 능력을 계발한다.</x:t>
  </x:si>
  <x:si>
    <x:t>지속가능발전목표(SDGs)의 의미를 이해하고,이의 실천과 관련한 지역 사례들을 조사하여 환경적,경제적,사회적 측면에서 통합적으로 분석한다.</x:t>
  </x:si>
  <x:si>
    <x:t>기후변화 대응을 위한 국제 사회의 협력과 시민사회의 노력 사례를 조사하고 기후변화를 둘러싼 이해당사자들의 서로 다른 입장과 가치를 비교한다.</x:t>
  </x:si>
  <x:si>
    <x:t>안전한 금융 거래를 위한 계약(약관)의 중요성을 인식하고,금융 사기 예방과 피해 구제를 위해 마련된 주요 금융 소비자 보호 제도를 탐구한다.</x:t>
  </x:si>
  <x:si>
    <x:t>인간 존엄성 실현과 인권 보장을 위한 헌법의 역할을 파악하고,시민의 권익을 보호하기 위한 다양한 시민 참여의 방안을 탐구하고 이를 실천한다.</x:t>
  </x:si>
  <x:si>
    <x:t>인간다운 생활을 보장하려는 사회보장과 경쟁 및 소비자를 보호하기 위한 법적 근거를 탐구하고,구체적인 사례에서 공공 쟁점을 찾아 토론한다.</x:t>
  </x:si>
  <x:si>
    <x:r>
      <x:t>[10통사1-05-01]산업화,도시화로 인해 나타난 생활공간과 생활양식의 변화 양상을 조사하고,이에 따른 문제점의 해결 방안을 제안한다.</x:t>
    </x:r>
  </x:si>
  <x:si>
    <x:r>
      <x:t>[12세지01-03]지리정보기술이 세계시민의 삶과 연계되는 다양한 모습을 이해하고,지리적 문제 해결및 의사 결정에 활용되는 사례를 조사한다.</x:t>
    </x:r>
  </x:si>
  <x:si>
    <x:t>사회현상의 탐구에서 발생하는 연구자의 가치 개입 및 연구 윤리 관련 쟁점을 토론하고,연구 윤리를 준수하며 사회현상에 대한 탐구를 수행한다.</x:t>
  </x:si>
  <x:si>
    <x:r>
      <x:t>[12경제04-02]비교 우위에 따른 특화와 교역을 중심으로 무역 원리를 이해하고,자유 무역과 보호 무역 정책의 경제적 효과를 설명한다.</x:t>
    </x:r>
  </x:si>
  <x:si>
    <x:r>
      <x:t>[12도탐04-01]지속가능성과 회복력이 높은 도시가 되기 위한 요건에 대해 토의하고 이와 관련한 도시계획 및 도시 혁신 사례를 탐구한다.</x:t>
    </x:r>
  </x:si>
  <x:si>
    <x:t>통계 자료를 활용해 우리나라 인구 및 가구구조의 변화를 시각화 및 분석하고,저출생,고령화,다문화 가구의 증가에 대응하기 위한 방안을 모색한다.</x:t>
  </x:si>
  <x:si>
    <x:r>
      <x:t>[12법사02-04]법원과 헌법재판소의 법적 문제 해결 과정을 탐구하고,사법의 의미와 한계를 인식하여입법론적 해결이 필요한 경우를 탐구한다.</x:t>
    </x:r>
  </x:si>
  <x:si>
    <x:r>
      <x:t>[12도탐03-02]부동산에 대한 인식 변화와 도시의 주거 문제 심화 사례를 조사하고,이를 공간 정의의관점에서 분석하여 해결 방안을 탐색한다.</x:t>
    </x:r>
  </x:si>
  <x:si>
    <x:t>지형 경관이 지닌 자연적 가치,심미적인 조화,인간과의 상호 작용과 같은 지오사이트의 선정기준을 조사하고,지오투어리즘 프로그램을 제안한다.</x:t>
  </x:si>
  <x:si>
    <x:r>
      <x:t>[12세지04-03]다양한 지정학적 분쟁을 국제 정세의 변화와 관련지어 조사하고,세계 평화와 정의에 기여할 수 있는 방안을 찾아 실천한다.</x:t>
    </x:r>
  </x:si>
  <x:si>
    <x:r>
      <x:t>[12경제02-02]정부를 비롯한 공공 부문의 경제적 역할을 이해하고,조세,공공재 등과 같이 시장의 자원 배분에 개입하는 사례를 탐구한다.</x:t>
    </x:r>
  </x:si>
  <x:si>
    <x:r>
      <x:t>[10통사2-04-03]남북 분단과 동아시아의 역사 갈등 상황을 분석하고,이를 토대로 우리나라가 세계 평화에 기여할 수 있는 방안을 제안한다.</x:t>
    </x:r>
  </x:si>
  <x:si>
    <x:r>
      <x:t>[10통사2-04-02]평화의 관점에서 국제 사회의 갈등과 협력의 사례를 조사하고,세계 평화를 위한 행위 주체의 바람직한 역할을 탐색한다.</x:t>
    </x:r>
  </x:si>
  <x:si>
    <x:r>
      <x:t>[12한탐05-02]한반도를 둘러싼 국가 간 경계와 접경지역을 분석하고,동아시아 지역의 발전과 평화⋅공존을 위한 지정학적 전략을 토론한다.</x:t>
    </x:r>
  </x:si>
  <x:si>
    <x:r>
      <x:t>[12법사04-02]학교폭력의 해결 과정을 살펴보며,학교생활에서 발생하였거나 발생할 수 있는 법적 문제를 발견하고 그 해결 방안을 탐구한다.</x:t>
    </x:r>
  </x:si>
  <x:si>
    <x:r>
      <x:t>[12사문03-01]대중문화에 대한 다양한 관점을 비교하고,일상적으로 접하는 사례를 중심으로 대중문화가 개인과 사회에 미치는 영향을 토의한다.</x:t>
    </x:r>
  </x:si>
  <x:si>
    <x:r>
      <x:t>[10통사2-03-01]자본주의의 역사적 전개 과정과 그 특징을 조사하고,시장과 정부의 관계를 중심으로다양한 삶의 방식을 비교 평가한다.</x:t>
    </x:r>
  </x:si>
  <x:si>
    <x:t>법적 문제를 해결하는데 필요한 법,조약,판례,입법자료 등을 찾아보고,민주시민으로서 나와 사회가 당면한 사회적 논의에 참여하는 태도를 가진다.</x:t>
  </x:si>
  <x:si>
    <x:r>
      <x:t>[10통사2-05-01]세계의 인구 분포와 구조 등에 대한 이해를 토대로 현재와 미래의 인구 문제 양상을파악하고,그 해결 방안을 제안한다.</x:t>
    </x:r>
  </x:si>
  <x:si>
    <x:t>합리적 선택의 의미와 그 한계를 파악하고,지속가능발전을 위해 요청되는 정부,기업가,노동자,소비자의 바람직한 역할과 책임에 관해 탐구한다.</x:t>
  </x:si>
  <x:si>
    <x:t>지속가능한 세계는 개인의 일상생활 방식과 관련되어 있음을 이해하고,다양한 소비 영역에서 요구되는 지속가능한 생활방식을 탐색하고 실천 방안을 제안한다.</x:t>
  </x:si>
  <x:si>
    <x:t>[10통사1-01-02]</x:t>
  </x:si>
  <x:si>
    <x:t>[10통사2-04-02]</x:t>
  </x:si>
  <x:si>
    <x:t>[10통사1-01-01]</x:t>
  </x:si>
  <x:si>
    <x:t>[10통사2-04-03]</x:t>
  </x:si>
  <x:si>
    <x:t>[10통사2-04-01]</x:t>
  </x:si>
  <x:si>
    <x:t>[10통사2-05-01]</x:t>
  </x:si>
  <x:si>
    <x:t>[10통사2-05-02]</x:t>
  </x:si>
  <x:si>
    <x:t>[10통사2-05-03]</x:t>
  </x:si>
  <x:si>
    <x:r>
      <x:t>[12사탐04-02]탐구 계획에 적합한 자료 수집 방법을 적용하여 자신이 선정한 사회문제에 관한 자료를수집한다.</x:t>
    </x:r>
  </x:si>
  <x:si>
    <x:t>[10통사1-03-01]자연환경이 인간의 생활에 미치는 영향에 관한 과거와 현재의 사례를 조사하여 분석하고,안전하고 쾌적한 환경에서 살아가는 것이 시민의 권리임을 주장한다.</x:t>
  </x:si>
  <x:si>
    <x:t>[12사문04-02]현대 사회에서 나타나는 다양한 사회 불평등 양상을 분석하고,차별받는 사람들의 입장에 대한 공감을 바탕으로 다양한 불평등 현상에 대한 해결 방안을 모색한다.</x:t>
  </x:si>
  <x:si>
    <x:t>첨단 산업과 모빌리티의 발달이 도시의 성장과 쇠퇴에 미치는 영향을 조사하고,정보통신기술의 발달로 출현하고 있는 스마트 도시를 사례로 살고 싶은 도시의 미래 모습을 예측한다.</x:t>
  </x:si>
  <x:si>
    <x:t>[12여지03-02]평화,전쟁,재난의 상징이 새겨진 지역에 대한 직간접적인 여행을 체험하고 이를 바탕으로 인권,정의,인류의 공존을 둘러싼 구조적 문제를 비판적으로 탐구한다.</x:t>
  </x:si>
  <x:si>
    <x:t>[12사문04-03]복지 국가의 발전 과정에 대한 이해를 바탕으로 사회 복지 제도의 유형과 특징을 비교하고,현대 사회에서 나타나고 있는 사회 복지를 둘러싼 쟁점을 토론한다.</x:t>
  </x:si>
  <x:si>
    <x:t>[10통사1-05-03]자신이 거주하는 지역을 사례로 공간 변화가 초래한 양상 및 문제점을 탐구하고,공동체의 구성원으로서 지역사회의 변화를 위한 방안을 모색하고 이를 실천한다.</x:t>
  </x:si>
  <x:si>
    <x:t>[12여지03-04]공정여행을 통해 여행지를 둘러싼 다양한 문제를 탐색하고,여행자인 나와 여행지 주민인 그들이 연결된다는 점에서 공존의 의미와 생태 감수성에 대해 성찰한다.</x:t>
  </x:si>
  <x:si>
    <x:t>[12한탐04-02]도시화,농업,관광지 개발로 인한 산지,하천,해안지역의 변화를 조사하고,환경과 개발에 대한 관점이 자연환경의 복원 및 지속가능한 활용에 미치는 영향을 파악한다.</x:t>
  </x:si>
  <x:si>
    <x:t>물권 관계와 관련된 기본적인 내용인 부동산⋅동산에 관한 권리의 기능과 특징,권리와의무로 구성되는 법(률)관계를 이해하고,이를 일상생활의 사례에 적용하여 법적 문제를해결한다.</x:t>
  </x:si>
  <x:si>
    <x:t>[12금융04-01]신용 사용의 결과를 고려한 책임감 있는 신용 관리 태도를 기르고,신용에 영향을 미치는 요인을 파악하여 자신의 신용을 효과적으로 관리하는 방법을 탐구한다.</x:t>
  </x:si>
  <x:si>
    <x:t>세부교과</x:t>
  </x:si>
  <x:si>
    <x:t>[12사문03-03]하위문화와 주류 문화의 관계에 대한 이해를 바탕으로 다문화 사회의 이주민 문화에대한 서로 다른 관점을 비교하고,이주민 문화가 갖는 의의에 기초하여 문화 다양성을 증진하기 위한 방안을 제시한다.</x:t>
  </x:si>
  <x:si>
    <x:t>세계화의 다양한 양상을 살펴보고,세계화 시대의 문제점과 그에 대한 해결 방안을 제안한다.</x:t>
  </x:si>
  <x:si>
    <x:t>인간,사회,환경의 탐구에 통합적 관점이 요청되는 이유를 도출하고 이를 탐구에 적용한다.</x:t>
  </x:si>
  <x:si>
    <x:t>학생과 청소년이 누릴 수 있는 권리와 의무를 이해하고,이를 학교와 일상생활의 사례에적용한다.</x:t>
  </x:si>
  <x:si>
    <x:t>인간,사회,환경을 바라보는 시간적,공간적,사회적,윤리적 관점의 의미와 특징을사례를 통해 파악한다.</x:t>
  </x:si>
  <x:si>
    <x:r>
      <x:t>[12동역03-03]제국주의 열강의 침략과 전쟁이 지역 생활과 생태환경에 끼친 영향을 탐구한다.</x:t>
    </x:r>
  </x:si>
  <x:si>
    <x:r>
      <x:t>[12세사03-03]제1⋅2차 산업 혁명이 가져온 사회,경제,생태환경의 변화를 분석한다.</x:t>
    </x:r>
  </x:si>
  <x:si>
    <x:r>
      <x:t>[12세사04-03]현대 세계의 과제를 해결하기 위해 인류가 기울여온 노력을 탐구한다.</x:t>
    </x:r>
  </x:si>
  <x:si>
    <x:r>
      <x:t>[12세사03-01]청,무굴 제국,오스만 제국의 통치 정책과 사회,문화의 변화를 이해한다.</x:t>
    </x:r>
  </x:si>
  <x:si>
    <x:t>다양한 현상에 대해 지리적 관점으로 질문을 던지고,질문에 답을 하기 위한 탐구 계획을 수립한다.</x:t>
  </x:si>
  <x:si>
    <x:t>현생 인류의 삶과 문명의 형성을 생태환경과의 관계 속에서 파악한다.</x:t>
  </x:si>
  <x:si>
    <x:t>동아시아,인도 세계의 형성을 문화의 상호 작용과 관련지어 이해한다.</x:t>
  </x:si>
  <x:si>
    <x:t>사회문제의 의미와 특징을 이해하고,사회문제를 바라보는 주요 관점을 비교한다.</x:t>
  </x:si>
  <x:si>
    <x:t>[12경제01-03]인간은 경제적 유인에 반응함을 인식하고,편익과 비용을 고려하여 합리적으로 선택하는 능력과 한계 분석을 이용한 의사 결정 능력을 계발한다.</x:t>
  </x:si>
  <x:si>
    <x:t>[10통사1-05-02]교통⋅통신 및 과학기술의 발달과 함께 나타난 생활공간과 생활양식의 변화 양상을조사하고,이에 따른 문제점의 해결 방안을 제안한다.</x:t>
  </x:si>
  <x:si>
    <x:t>제국주의 열강의 침략과 전쟁이 지역 생활과 생태환경에 끼친 영향을 탐구한다.</x:t>
  </x:si>
  <x:si>
    <x:r>
      <x:t>[12국관01-01]근대 이후 국제 관계의 형성과 변화 과정을 파악한다.</x:t>
    </x:r>
  </x:si>
  <x:si>
    <x:t>공정 무역과 공적 개발 원조 등 국제 사회의 상생을 위한 노력을 조사하고,다양한행위 주체의 협력 방안을 탐색한다.</x:t>
  </x:si>
  <x:si>
    <x:t>국제 사회에서 우리나라의 위상을 파악하고,국제 사회의 불평등 문제를 해결하기 위한우리나라의 역할을 토론한다.</x:t>
  </x:si>
  <x:si>
    <x:t>[10통사2-01-03]</x:t>
  </x:si>
  <x:si>
    <x:t>[10통사2-01-01]</x:t>
  </x:si>
  <x:si>
    <x:t>[10통사2-01-02]</x:t>
  </x:si>
  <x:si>
    <x:t>경제 문제를 해결하는 다양한 방식의 장단점을 비교하고,시장경제의 기본 원리와이를 뒷받침하는 제도를 파악한다.</x:t>
  </x:si>
  <x:si>
    <x:r>
      <x:t>[10통사1-04-01]자연환경과 인문환경의 영향을 받아 형성된 다양한 문화권의 특징과 삶의 방식을 탐구한다.</x:t>
    </x:r>
  </x:si>
  <x:si>
    <x:r>
      <x:t>[10통사1-04-02]문화 변동의 다양한 양상을 이해하고,현대 사회에서 전통문화가 지니는 의의를 탐색한다.</x:t>
    </x:r>
  </x:si>
  <x:si>
    <x:t>[12여지02-04]지형 경관이 지닌 자연적 가치,심미적인 조화,인간과의 상호 작용과 같은 지오사이트의 선정기준을 조사하고,지오투어리즘 프로그램을 제안한다.</x:t>
  </x:si>
  <x:si>
    <x:t>청소년의 미디어 이용 과정에서 나타나는 문제를 조사하고,원인과 해결 방안을 제시한다.</x:t>
  </x:si>
  <x:si>
    <x:t>일상생활에서 나타나는 성 불평등 문제의 실태를 조사하고,원인과 해결 방안을 제시한다.</x:t>
  </x:si>
  <x:si>
    <x:t>저출산⋅고령화로 인해 발생하는 다양한 사회문제의 실태를 조사하고,해결 방안을제시한다.</x:t>
  </x:si>
  <x:si>
    <x:t>문화 변동의 다양한 양상을 이해하고,현대 사회에서 전통문화가 지니는 의의를 탐색한다.</x:t>
  </x:si>
  <x:si>
    <x:t>정치권력의 의미와 특징을 이해하고,근대 이후 국가 권력이 형성되는 원리를 이해한다.</x:t>
  </x:si>
  <x:si>
    <x:t>민주주의 이념을 이해하고,이를 구현하기 위한 다양한 민주주의의 모델을 탐색한다.</x:t>
  </x:si>
  <x:si>
    <x:t>민주 국가의 정치과정을 분석하고,시민이 정치과정에 참여해야 하는 이유를 탐색한다.</x:t>
  </x:si>
  <x:si>
    <x:t>수집한 자료에 대한 분석과 해석을 토대로 사회문제에 대한 해결 방안을 제시한다.</x:t>
  </x:si>
  <x:si>
    <x:t>민주주의와 법치주의의 발전 과정을 이해하고,우리나라 권력 분립의 원리를 탐구한다.</x:t>
  </x:si>
  <x:si>
    <x:t>대중문화에 대한 다양한 관점을 비교하고,일상적으로 접하는 사례를 중심으로 대중문화가 개인과 사회에 미치는 영향을 토의한다.</x:t>
  </x:si>
  <x:si>
    <x:t>세계유산으로 등재된 한반도 자연경관의 가치를 탁월성과 보편성의 측면에서 설명하고,이를 토대로 등재 가능한 자연경관을 추천한다.</x:t>
  </x:si>
  <x:si>
    <x:r>
      <x:t>[12정치04-02]다양한 국제 문제의 원인을 분석하고,이를 해결하기 위해 국가를 비롯한 여러 주체가수행하는 활동을 분석한다.</x:t>
    </x:r>
  </x:si>
  <x:si>
    <x:r>
      <x:t>[12기지03-03]지역 공동체의 생태전환을 위한 다양한 노력 사례를 조사하고 지역의 지속가능한사회⋅생태 체계를 탐색한다.</x:t>
    </x:r>
  </x:si>
  <x:si>
    <x:t>현대적 법(률)관계의 특징과 지적 재산권의 의미를 이해하고,이와 관련된 일상생활에서의 사례를 찾아보고 관련 쟁점을 토론한다.</x:t>
  </x:si>
  <x:si>
    <x:r>
      <x:t>[12법사02-03]형법의 의의와 기능을 죄형 법정주의를 중심으로 이해하고,범죄의 성립 요건과 형벌의종류,형사 절차를 탐구한다.</x:t>
    </x:r>
  </x:si>
  <x:si>
    <x:r>
      <x:t>[12여지03-01]인류의 물질적,정신적 발전 과정을 성찰할 수 있는 산업유산 및 기념물을 조사하고 여행지의 가치를 평가한다.</x:t>
    </x:r>
  </x:si>
  <x:si>
    <x:r>
      <x:t>[12여지02-02]다양한 문화 경관의 형성 배경과 의미를 이해하고,감정이입과 공감의 자세로 여행지 주민을 배려하고 존중한다.</x:t>
    </x:r>
  </x:si>
  <x:si>
    <x:t>미디어의 효과에 대한 이해를 바탕으로 미디어가 생산하는 메시지를 비판적으로 분석하고 대안적 메시지 생산에 능동적으로 참여한다.</x:t>
  </x:si>
  <x:si>
    <x:t>국제 사회에서 다양한 지역 통합이 이루어지는 현상과 그 이유를 확인하고,지역 기구의 구성원으로서 우리나라의 역할을 토론한다.</x:t>
  </x:si>
  <x:si>
    <x:r>
      <x:t>[12세지04-02]세계 주요 환경 문제의 유형과 실태를 설명하고,생태전환적 삶에 비추어 현재의 생활방식을 비판적으로 점검한다.</x:t>
    </x:r>
  </x:si>
  <x:si>
    <x:r>
      <x:t>[12법사01-02]채권 관계와 관련된 기본적인 내용인 계약,불법행위 등과 사적 자치를 이해하고,이를일상생활의 사례에 적용한다.</x:t>
    </x:r>
  </x:si>
  <x:si>
    <x:t>민주 국가의 정부 형태인 대통령제와 의원 내각제의 특징을 비교하여 이해하고,우리나라 정부 형태의 특징을 헌법을 통해 분석한다.</x:t>
  </x:si>
  <x:si>
    <x:r>
      <x:t>[10통사1-04-04]다문화 사회의 현황을 조사하고,문화적 다양성을 존중하는 태도를 바탕으로 갈등 해결 방안을 모색한다.</x:t>
    </x:r>
  </x:si>
  <x:si>
    <x:r>
      <x:t>[10통사1-04-03]문화적 차이에 대한 상대주의적 태도의 필요성을 이해하고,보편 윤리의 차원에서 자문화와 타문화를 평가한다.</x:t>
    </x:r>
  </x:si>
  <x:si>
    <x:r>
      <x:t>[12국관02-03]국제 사회에서 우리나라의 위상을 파악하고,국제 사회의 불평등 문제를 해결하기 위한우리나라의 역할을 토론한다.</x:t>
    </x:r>
  </x:si>
  <x:si>
    <x:t>여행이 주는 가치의 재발견을 통해 자신만의 여행 포트폴리오를 구성하고 나의 삶을 변화시키는 일상 속의 다양한 여행을 실천한다.</x:t>
  </x:si>
  <x:si>
    <x:r>
      <x:t>[12사탐01-03]다양한 자료 수집 방법을 적용한 실제 사례를 활용하여 수집된 자료를 분석하고 해석하는 방법을 설명한다.</x:t>
    </x:r>
  </x:si>
  <x:si>
    <x:t>기후정의의 관점에서 기후변화에 따른 불평등 문제의 해결 방안을 모색하고,기후변화에 대한 인간의 책임과 의무에 대해 성찰한다.</x:t>
  </x:si>
  <x:si>
    <x:t>사회현상에 대한 양적 연구 방법과 질적 연구 방법의 특징 및 연구 절차를 비교하고,각 연구 방법을 활용한 연구 사례를 분석한다.</x:t>
  </x:si>
  <x:si>
    <x:t>자원,노동,자본의 지역 분포에 따른 국제 분업과 무역의 필요성을 이해하고,지속가능발전에 기여하는 국제무역의 방안을 탐색한다.</x:t>
  </x:si>
  <x:si>
    <x:r>
      <x:t>[12세지02-03]세계 주요 종교의 특징 및 종교 경관의 의미를 이해하고,각 종교가 인간 생활에 미치는 영향을 탐구한다.</x:t>
    </x:r>
  </x:si>
  <x:si>
    <x:t>교통⋅통신 및 과학기술의 발달과 함께 나타난 생활공간과 생활양식의 변화 양상을조사하고,이에 따른 문제점의 해결 방안을 제안한다.</x:t>
  </x:si>
  <x:si>
    <x:r>
      <x:t>[12세지01-01]세계화의 의미를 지리적 스케일에 따라 이해하고,세계화와 지역화의 관계 속에서 세계시민의 역할을 탐색한다.</x:t>
    </x:r>
  </x:si>
  <x:si>
    <x:r>
      <x:t>[12여지04-01]미디어와 여행의 상호관계를 통해 여행의 변화양상을 조사하고 미래 사회의 여행자와 여행의 모습을 예측한다.</x:t>
    </x:r>
  </x:si>
  <x:si>
    <x:t>부동산에 대한 인식 변화와 도시의 주거 문제 심화 사례를 조사하고,이를 공간 정의의관점에서 분석하여 해결 방안을 탐색한다.</x:t>
  </x:si>
  <x:si>
    <x:r>
      <x:t>[12금융01-02]디지털 금융 환경에서 나타난 금융 서비스의 변화된 특징을 이해하고 디지털 금융 서비스를 효과적으로 이용한다.</x:t>
    </x:r>
  </x:si>
  <x:si>
    <x:t>도시 간의 상호 작용과 교류에 의해 형성되는 도시 체계를 이해하고,도시 공간 구조는고정되지 않고 지속해서 재구성됨을 인식한다.</x:t>
  </x:si>
  <x:si>
    <x:t>미디어를 통한 정치 참여 방법의 특징과 문제점을 분석하고,유권자이자 피선거권자로서 미디어를 비판적으로 활용하는 태도를 지닌다.</x:t>
  </x:si>
  <x:si>
    <x:t>세계 인구 분포 및 구조를 통해 세계 인구 문제를 이해하고,국제적 이주가 인구 유출지역과 유입 지역에 미치는 영향을 탐구한다.</x:t>
  </x:si>
  <x:si>
    <x:t>국제 사회를 이해하는 주요 관점인 현실주의와 자유주의를 중심으로 구체적인 국제관계의 사례를 분석하고,대안적 관점들을 탐색한다.</x:t>
  </x:si>
  <x:si>
    <x:r>
      <x:t>[12경제01-02]경제 문제를 해결하는 다양한 방식의 장단점을 비교하고,시장경제의 기본 원리와이를 뒷받침하는 제도를 파악한다.</x:t>
    </x:r>
  </x:si>
  <x:si>
    <x:t>사회문제에 대한 과학적 탐구의 필요성을 설명하고,사회문제 탐구를 위한 연구 방법과다양한 자료 수집 방법의 특징을 비교한다.</x:t>
  </x:si>
  <x:si>
    <x:r>
      <x:t>[12사문01-03]사회현상에 대한 다양한 자료 수집 방법의 특징을 비교하고,각 자료 수집 방법을 활용한 연구 사례를 분석한다.</x:t>
    </x:r>
  </x:si>
  <x:si>
    <x:t>세계 주요 지형과 인간 생활의 상관성을 파악하고,지형의 개발과 보존을 둘러싼 갈등사례를 통해 지속가능한 이용 방안을 토론한다.</x:t>
  </x:si>
  <x:si>
    <x:t>경제의 세계화 이후 사회⋅경제적 변화를 국가,지역,세계적 차원에서 파악한다.</x:t>
  </x:si>
  <x:si>
    <x:r>
      <x:t>[12세사02-03]세계적 상품 교역이 가져온 사회적⋅경제적 변화를 이해한다.</x:t>
    </x:r>
  </x:si>
  <x:si>
    <x:t>역사 기행을 통한 탐구의 방법을 이해하고,동아시아의 범위와 특징을 파악한다.</x:t>
  </x:si>
  <x:si>
    <x:r>
      <x:t>[12국관03-01]인류가 직면한 평화와 안전의 상황을 다각적으로 조사한다.</x:t>
    </x:r>
  </x:si>
  <x:si>
    <x:r>
      <x:t>[12역현03-01]세계 경제의 성장과 기술 혁신의 변화 양상을 조사한다.</x:t>
    </x:r>
  </x:si>
  <x:si>
    <x:t>생태환경을 바탕으로 형성된 유목 세계,농경 세계,해양 세계의 삶을 이해한다.</x:t>
  </x:si>
  <x:si>
    <x:t>세계적 상품 교역이 가져온 사회적⋅경제적 변화를 이해한다.</x:t>
  </x:si>
  <x:si>
    <x:t>이슬람 세계와 몽골 제국의 팽창에 따른 교류 양상을 파악한다.</x:t>
  </x:si>
  <x:si>
    <x:t>사회 집단 및 사회 조직의 유형과 변화 양상에 대한 이해를 바탕으로 사회 집단 및 사회 조직이 개인의 사회생활과 사회적 관계에 미치는 영향을 설명한다.</x:t>
  </x:si>
  <x:si>
    <x:t>사회적 소수자 차별,청소년의 노동권 등 국내 인권 문제와 인권지수를 통해 확인할 수 있는 세계 인권 문제의 양상을 조사하고,이에 대한 해결 방안을 모색한다.</x:t>
  </x:si>
  <x:si>
    <x:t>사회 변동이 다양한 요인의 복합적인 상호 작용의 산물이라는 점을 설명하고,현대사회의 변동 과정에서 나타나는 다양한 사회 운동의 유형과 특징을 탐구한다.</x:t>
  </x:si>
  <x:si>
    <x:t>[12기지03-02]기후변화 문제와 관련하여 국가 차원의 대응으로서 정치,사회,경제 영역에서의 생태전환을 위한 실천 사례를 조사하고,이를 분석 평가한다.</x:t>
  </x:si>
  <x:si>
    <x:t>일탈 행동의 발생 요인이나 특성을 설명하는 다양한 일탈 이론을 비교하고,일탈 행동에 대한 사회 통제의 유형과 사회 통제의 필요성 및 문제점을 분석한다.</x:t>
  </x:si>
  <x:si>
    <x:t>공정여행을 통해 여행지를 둘러싼 다양한 문제를 탐색하고,여행자인 나와 여행지 주민인 그들이 연결된다는 점에서 공존의 의미와 생태 감수성에 대해 성찰한다.</x:t>
  </x:si>
  <x:si>
    <x:t>복지 국가의 발전 과정에 대한 이해를 바탕으로 사회 복지 제도의 유형과 특징을 비교하고,현대 사회에서 나타나고 있는 사회 복지를 둘러싼 쟁점을 토론한다.</x:t>
  </x:si>
  <x:si>
    <x:t>기후변화에 대응하기 위한 적정기술과 순환경제의 역할의 중요성을 파악하고,에너지 전환의 중요성에 대한 이해를 바탕으로 지속가능한 세계의 모습을 제안한다.</x:t>
  </x:si>
  <x:si>
    <x:t>평화,전쟁,재난의 상징이 새겨진 지역에 대한 직간접적인 여행을 체험하고 이를 바탕으로 인권,정의,인류의 공존을 둘러싼 구조적 문제를 비판적으로 탐구한다.</x:t>
  </x:si>
  <x:si>
    <x:t>현대 사회에서 나타나는 다양한 사회 불평등 양상을 분석하고,차별받는 사람들의 입장에 대한 공감을 바탕으로 다양한 불평등 현상에 대한 해결 방안을 모색한다.</x:t>
  </x:si>
  <x:si>
    <x:r>
      <x:t>[10통사1-02-02]행복한 삶을 실현하기 위한 조건으로 질 높은 정주 환경의 조성,경제적 안정,민주주의 발전 및 도덕적 실천의 필요성에 관해 탐구한다.</x:t>
    </x:r>
  </x:si>
  <x:si>
    <x:t>자신이 거주하는 지역을 사례로 공간 변화가 초래한 양상 및 문제점을 탐구하고,공동체의 구성원으로서 지역사회의 변화를 위한 방안을 모색하고 이를 실천한다.</x:t>
  </x:si>
  <x:si>
    <x:r>
      <x:t>[12사문03-04]문화 변동의 다양한 요인과 양상,문화 변동 과정에서 발생하는 문제점을 이해하고,문화의 세계화로 인해 나타나는 쟁점에 대해 탐구한다.</x:t>
    </x:r>
  </x:si>
  <x:si>
    <x:t>경제</x:t>
  </x:si>
  <x:si>
    <x:t>[12기지02-02]기후변화의 영향은 지리적 조건 및 사회적⋅경제적 조건에 따라 차별적으로 나타나고 있음을 이해하고,이와 관련한 쟁점과 사례를 조사한다.</x:t>
  </x:si>
  <x:si>
    <x:t>신용 사용의 결과를 고려한 책임감 있는 신용 관리 태도를 기르고,신용에 영향을 미치는 요인을 파악하여 자신의 신용을 효과적으로 관리하는 방법을 탐구한다.</x:t>
  </x:si>
  <x:si>
    <x:t>제2차 세계 대전 이후 인권⋅평화를 위한 국제 사회의 노력과 한계를 파악한다.</x:t>
  </x:si>
  <x:si>
    <x:t>냉전 시기 열전의 전개 양상을 찾아보고,전쟁 당사국의 전쟁 경험을 비교한다.</x:t>
  </x:si>
  <x:si>
    <x:r>
      <x:t>[12동역02-01]동아시아의 지역 간 교류를 보여주는 문화유산을 탐구한다.</x:t>
    </x:r>
  </x:si>
  <x:si>
    <x:t>학습자가 생각하는 현대 세계의 과제를 선정⋅조사하고 그 특징을 분석한다.</x:t>
  </x:si>
  <x:si>
    <x:t>민주주의를 실현하기 위한 원리를 탐색하고,이러한 원리를 일상생활에 적용한다.</x:t>
  </x:si>
  <x:si>
    <x:t>경제 성장의 의미와 요인을 이해하고,한국 경제의 변화와 경제적 성과를 균형 있는 시각에서 평가한다.</x:t>
  </x:si>
  <x:si>
    <x:r>
      <x:t>[12사탐04-03]수집한 자료에 대한 분석과 해석을 토대로 사회문제에 대한 해결 방안을 제시한다.</x:t>
    </x:r>
  </x:si>
  <x:si>
    <x:t>동아시아의 역사 및 영토 갈등과 새롭게 대두되는 문제를 파악하고 해결하려는 자세를갖는다.</x:t>
  </x:si>
  <x:si>
    <x:t>국제 사회의 특징과 변화 과정을 이해하고 국제 정치를 바라보는 관점을 비교하여 분석한다.</x:t>
  </x:si>
  <x:si>
    <x:r>
      <x:t>[12동역02-02]종교와 사상을 중심으로 동아시아 각 지역 간 교류 양상을 파악한다.</x:t>
    </x:r>
  </x:si>
  <x:si>
    <x:t>냉전 시기 동아시아 지역에서 전개된 전쟁을 탐구하고,각국의 정치⋅사회적 변화를 파악한다.</x:t>
  </x:si>
  <x:si>
    <x:r>
      <x:t>[12동역02-03]몽골의 팽창 및17세기 전후 동아시아 전쟁이 초래한 변화를 이해한다.</x:t>
    </x:r>
  </x:si>
  <x:si>
    <x:t>민주 정치에서 정당의 의미와 역할을 탐구하고,다양한 정치 참여의 방법을 비교,분석한다.</x:t>
  </x:si>
  <x:si>
    <x:t>[10통사1-04-01]</x:t>
  </x:si>
  <x:si>
    <x:t>[10통사1-04-02]</x:t>
  </x:si>
  <x:si>
    <x:t>[10통사1-04-04]</x:t>
  </x:si>
  <x:si>
    <x:t>[10통사1-04-03]</x:t>
  </x:si>
  <x:si>
    <x:t>[12금융01-03]</x:t>
  </x:si>
  <x:si>
    <x:t>[12금융01-01]</x:t>
  </x:si>
  <x:si>
    <x:t>[12금융01-02]</x:t>
  </x:si>
  <x:si>
    <x:t>[12여지03-01]</x:t>
  </x:si>
  <x:si>
    <x:t>[12여지03-02]</x:t>
  </x:si>
  <x:si>
    <x:t>[12동역04-01]</x:t>
  </x:si>
  <x:si>
    <x:t>[12여지03-03]</x:t>
  </x:si>
  <x:si>
    <x:t>[12동역04-03]</x:t>
  </x:si>
  <x:si>
    <x:t>[12동역02-03]</x:t>
  </x:si>
  <x:si>
    <x:t>[12동역04-02]</x:t>
  </x:si>
  <x:si>
    <x:t>[12여지03-04]</x:t>
  </x:si>
  <x:si>
    <x:t>[12동역02-01]</x:t>
  </x:si>
  <x:si>
    <x:t>[12동역02-04]</x:t>
  </x:si>
  <x:si>
    <x:t>[12동역02-02]</x:t>
  </x:si>
  <x:si>
    <x:t>[12정치02-04]</x:t>
  </x:si>
  <x:si>
    <x:t>[12정치02-01]</x:t>
  </x:si>
  <x:si>
    <x:t>[12정치02-02]</x:t>
  </x:si>
  <x:si>
    <x:t>[12정치02-03]</x:t>
  </x:si>
  <x:si>
    <x:t>[12정치04-01]</x:t>
  </x:si>
  <x:si>
    <x:t>[12정치04-02]</x:t>
  </x:si>
  <x:si>
    <x:t>[12정치04-03]</x:t>
  </x:si>
  <x:si>
    <x:t>[12기지03-01]</x:t>
  </x:si>
  <x:si>
    <x:t>[12정치04-04]</x:t>
  </x:si>
  <x:si>
    <x:t>[12기지03-04]</x:t>
  </x:si>
  <x:si>
    <x:t>[12기지03-03]</x:t>
  </x:si>
  <x:si>
    <x:t>[12기지03-02]</x:t>
  </x:si>
  <x:si>
    <x:t>[12정치01-01]</x:t>
  </x:si>
  <x:si>
    <x:t>[12정치01-02]</x:t>
  </x:si>
  <x:si>
    <x:t>[12정치01-04]</x:t>
  </x:si>
  <x:si>
    <x:t>[12정치01-03]</x:t>
  </x:si>
  <x:si>
    <x:t>[12금융02-02]</x:t>
  </x:si>
  <x:si>
    <x:t>[12금융02-01]</x:t>
  </x:si>
  <x:si>
    <x:t>[12금융02-03]</x:t>
  </x:si>
  <x:si>
    <x:t>[12역현01-02]</x:t>
  </x:si>
  <x:si>
    <x:t>[12사탐04-02]</x:t>
  </x:si>
  <x:si>
    <x:t>[12역현01-01]</x:t>
  </x:si>
  <x:si>
    <x:t>[12경제02-01]</x:t>
  </x:si>
  <x:si>
    <x:t>[12경제02-02]</x:t>
  </x:si>
  <x:si>
    <x:t>[12경제02-03]</x:t>
  </x:si>
  <x:si>
    <x:t>[12사탐04-01]</x:t>
  </x:si>
  <x:si>
    <x:t>[12사탐04-03]</x:t>
  </x:si>
  <x:si>
    <x:t>[12사탐04-04]</x:t>
  </x:si>
  <x:si>
    <x:t>[12여지04-01]</x:t>
  </x:si>
  <x:si>
    <x:t>[12여지04-02]</x:t>
  </x:si>
  <x:si>
    <x:t>지구적 차원에서 에너지 자원의 분포와 소비 실태를 파악하고,기후변화에 대한 대응과 지속가능한 발전을 위한 제도적 방안과 개인적 노력을 탐구한다.</x:t>
  </x:si>
  <x:si>
    <x:r>
      <x:t>[12국관04-03]국제 사회에서 다양한 지역 통합이 이루어지는 현상과 그 이유를 확인하고,지역 기구의 구성원으로서 우리나라의 역할을 토론한다.</x:t>
    </x:r>
  </x:si>
  <x:si>
    <x:t>여행지의 기후 및 기후변화가 여행자와 여행지 주민에게 미치는 영향과 그 차이를 비교하고,지리적 상상력을 동원한 간접여행을 통해 기후경관을 체험한다.</x:t>
  </x:si>
  <x:si>
    <x:t>사회 구조와 개인의 관계에 대한 이해를 바탕으로 개인의 사회화 과정,사회화 기관 및 유형을 설명하고,사회화에 대한 서로 다른 이론적 관점을 비교한다.</x:t>
  </x:si>
  <x:si>
    <x:t>금융 자산의 특징과 자산 관리의 원칙을 토대로 금융 생활을 설계하고,경제적,사회적 환경의 변화가 금융과 관련한 의사 결정에 미치는 영향을 탐구한다.</x:t>
  </x:si>
  <x:si>
    <x:r>
      <x:t>[12세지02-02]세계 주요 지형과 인간 생활의 상관성을 파악하고,지형의 개발과 보존을 둘러싼 갈등사례를 통해 지속가능한 이용 방안을 토론한다.</x:t>
    </x:r>
  </x:si>
  <x:si>
    <x:r>
      <x:t>[10통사2-02-03]사회 및 공간 불평등 현상의 사례를 조사하고,정의로운 사회를 만들기 위한 다양한제도와 시민으로서의 실천 방안을 제안한다.</x:t>
    </x:r>
  </x:si>
  <x:si>
    <x:t>일상생활에서 경험하는 사회문제 중 하나를 선정하여 해당 문제에 대한 다양한 관점을비교하고,이를 바탕으로 문제 해결을 위한 탐구 계획을 수립한다.</x:t>
  </x:si>
  <x:si>
    <x:r>
      <x:t>[12경제02-03]시장 기능과 공공 부문의 활동을 비교하고,자원 배분의 효율성과 형평성에 미치는영향을 평가한다.</x:t>
    </x:r>
  </x:si>
  <x:si>
    <x:r>
      <x:t>[12경제02-01]수요와 공급에 의한 시장 균형의 결정과 변동 원리를 파악하고,이를 다양한 시장에 적용한다.</x:t>
    </x:r>
  </x:si>
  <x:si>
    <x:r>
      <x:t>[12세지02-04]세계의 다양한 음식과 축제를 지리적으로 설명하고,문화 다양성을 보존하기 위한 방법을 모색한다.</x:t>
    </x:r>
  </x:si>
  <x:si>
    <x:t>자본주의의 역사적 전개 과정과 그 특징을 조사하고,시장과 정부의 관계를 중심으로다양한 삶의 방식을 비교 평가한다.</x:t>
  </x:si>
  <x:si>
    <x:r>
      <x:t>[12경제03-03]경기 변동의 의미와 요인을 이해하고,경기 안정화 방안으로 재정 정책과 통화 정책을 분석한다.</x:t>
    </x:r>
  </x:si>
  <x:si>
    <x:t>디지털 금융 환경에서 나타난 금융 서비스의 변화된 특징을 이해하고 디지털 금융 서비스를 효과적으로 이용한다.</x:t>
  </x:si>
  <x:si>
    <x:t>경제 및 대중문화 교류가 확대되는 모습을 이해하고,다문화 사회의 현실을 파악하여 공존을 위한 노력을 모색한다.</x:t>
  </x:si>
  <x:si>
    <x:t>사회 불평등 현상을 이해하는 서로 다른 관점을 비교하고,사회 이동과 사회 계층 구조의 유형 및 특징을 분석한다.</x:t>
  </x:si>
  <x:si>
    <x:r>
      <x:t>[12도탐01-03]살기 좋은 도시에 대한 다양한 관점을 비교하고,살기 좋은 도시의 사례와 특징을 조사한다.</x:t>
    </x:r>
  </x:si>
  <x:si>
    <x:t>법으로 보장되는 근로자의 권리를 이해하고,이를 일상생활의 사례에 적용한다.</x:t>
  </x:si>
  <x:si>
    <x:t>통합사회2</x:t>
  </x:si>
  <x:si>
    <x:t>[12세지03-03]</x:t>
  </x:si>
  <x:si>
    <x:t>[12세지03-02]</x:t>
  </x:si>
  <x:si>
    <x:t>[12세지03-01]</x:t>
  </x:si>
  <x:si>
    <x:t>동아시아 역사 기행</x:t>
  </x:si>
  <x:si>
    <x:t>[12동역03-01]</x:t>
  </x:si>
  <x:si>
    <x:t>[12동역03-02]</x:t>
  </x:si>
  <x:si>
    <x:t>국제 관계의 이해</x:t>
  </x:si>
  <x:si>
    <x:t>[12동역03-03]</x:t>
  </x:si>
  <x:si>
    <x:t>[12세사01-01]</x:t>
  </x:si>
  <x:si>
    <x:t>[12세사01-02]</x:t>
  </x:si>
  <x:si>
    <x:t>[12세사01-03]</x:t>
  </x:si>
  <x:si>
    <x:t>[12도탐04-01]</x:t>
  </x:si>
  <x:si>
    <x:t>[12도탐04-02]</x:t>
  </x:si>
  <x:si>
    <x:t>[12경제01-01]</x:t>
  </x:si>
  <x:si>
    <x:t>[12경제01-03]</x:t>
  </x:si>
  <x:si>
    <x:t>[12경제01-02]</x:t>
  </x:si>
  <x:si>
    <x:t>저축과 투자의 장단점을 고려하여 자기 책임의 원칙에 따라 저축과 투자를 결정하며,활용할 수 있는 예금자 보호 제도와 투자자 보호 제도를 탐색한다.</x:t>
  </x:si>
  <x:si>
    <x:t>법과 사회</x:t>
  </x:si>
  <x:si>
    <x:t>한국지리 탐구</x:t>
  </x:si>
  <x:si>
    <x:t>몽골의 팽창 및17세기 전후 동아시아 전쟁이 초래한 변화를 이해한다.</x:t>
  </x:si>
  <x:si>
    <x:t>종교와 사상을 중심으로 동아시아 각 지역 간 교류 양상을 파악한다.</x:t>
  </x:si>
  <x:si>
    <x:t>[12한탐05-01]</x:t>
  </x:si>
  <x:si>
    <x:t>[12한탐05-02]</x:t>
  </x:si>
  <x:si>
    <x:t>[12한탐04-01]</x:t>
  </x:si>
  <x:si>
    <x:t>[12한탐04-02]</x:t>
  </x:si>
  <x:si>
    <x:t>[12한탐04-03]</x:t>
  </x:si>
  <x:si>
    <x:t>[12한탐04-04]</x:t>
  </x:si>
  <x:si>
    <x:t>[12세사02-01]</x:t>
  </x:si>
  <x:si>
    <x:t>[12세사02-02]</x:t>
  </x:si>
  <x:si>
    <x:t>[12세사02-03]</x:t>
  </x:si>
  <x:si>
    <x:t>[12한탐03-02]</x:t>
  </x:si>
  <x:si>
    <x:t>[12한탐03-01]</x:t>
  </x:si>
  <x:si>
    <x:t>[12한탐03-04]</x:t>
  </x:si>
  <x:si>
    <x:t>[12한탐03-03]</x:t>
  </x:si>
  <x:si>
    <x:t>[12국관03-01]</x:t>
  </x:si>
  <x:si>
    <x:t>[12동역01-02]</x:t>
  </x:si>
  <x:si>
    <x:t>[12국관03-02]</x:t>
  </x:si>
  <x:si>
    <x:t>[12국관03-03]</x:t>
  </x:si>
  <x:si>
    <x:t>[12동역01-01]</x:t>
  </x:si>
  <x:si>
    <x:t>[12사문01-03]</x:t>
  </x:si>
  <x:si>
    <x:t>[12사문01-04]</x:t>
  </x:si>
  <x:si>
    <x:t>[12사문01-01]</x:t>
  </x:si>
  <x:si>
    <x:t>[12사문01-02]</x:t>
  </x:si>
  <x:si>
    <x:t>냉전의 전개 양상에 따라 나타난 사회,문화의 변화를 분석한다.</x:t>
  </x:si>
  <x:si>
    <x:r>
      <x:t>[12정치01-04]민주주의를 실현하기 위한 원리를 탐색하고,이러한 원리를 일상생활에 적용한다.</x:t>
    </x:r>
  </x:si>
  <x:si>
    <x:t>소비 지출과 비소비 지출을 구분하고 지출에 영향을 미치는 요인을 파악하여 합리적인 소비를 실천한다.</x:t>
  </x:si>
  <x:si>
    <x:t>시장 기능과 공공 부문의 활동을 비교하고,자원 배분의 효율성과 형평성에 미치는영향을 평가한다.</x:t>
  </x:si>
  <x:si>
    <x:r>
      <x:t>[12경제03-01]여러 가지 거시 경제 변수를 탐색하고,국가 경제 전반의 활동 수준을 파악한다.</x:t>
    </x:r>
  </x:si>
  <x:si>
    <x:r>
      <x:t>[12동역01-02]생태환경을 바탕으로 형성된 유목 세계,농경 세계,해양 세계의 삶을 이해한다.</x:t>
    </x:r>
  </x:si>
  <x:si>
    <x:r>
      <x:t>[12정치01-02]민주주의 이념을 이해하고,이를 구현하기 위한 다양한 민주주의의 모델을 탐색한다.</x:t>
    </x:r>
  </x:si>
  <x:si>
    <x:r>
      <x:t>[12동역01-01]역사 기행을 통한 탐구의 방법을 이해하고,동아시아의 범위와 특징을 파악한다.</x:t>
    </x:r>
  </x:si>
  <x:si>
    <x:r>
      <x:t>[12동역02-04]이슬람과 유럽 세력의 참여를 통해 확대된 동아시아 교류의 모습을 탐구한다.</x:t>
    </x:r>
  </x:si>
  <x:si>
    <x:t>민주 정치의 역사적 발전 과정을 이해하고,현대 민주 정치의 다양한 사상적 배경을 비교⋅분석한다.</x:t>
  </x:si>
  <x:si>
    <x:t>유럽의 신항로 개척과 재정⋅군사 국가의 성립이 가져온 변화를 분석한다.</x:t>
  </x:si>
  <x:si>
    <x:t>형법의 의의와 기능을 죄형 법정주의를 중심으로 이해하고,범죄의 성립 요건과 형벌의종류,형사 절차를 탐구한다.</x:t>
  </x:si>
  <x:si>
    <x:t>야외조사 및 지리정보기술을 활용한 데이터 수집방법을 연습하고,탐구 질문에 맞춰 데이터를 수집,분석,시각화한다.</x:t>
  </x:si>
  <x:si>
    <x:t>채권 관계와 관련된 기본적인 내용인 계약,불법행위 등과 사적 자치를 이해하고,이를일상생활의 사례에 적용한다.</x:t>
  </x:si>
  <x:si>
    <x:r>
      <x:t>[12법사02-02]우리나라 헌법의 기본 원리와 기본권 내용을 이해하고,기본권 제한의 요건과 한계를 탐구한다.</x:t>
    </x:r>
  </x:si>
  <x:si>
    <x:t>국제 분쟁을 해결하기 위한 외교와 국제법의 필요성과 기능을 탐색한다.</x:t>
  </x:si>
  <x:si>
    <x:t>지구적 차원에서 나타나는 기후변화의 심각성을 사례를 통해 파악하고,기후변화를바라보는 관점의 다양성을 이해한다.</x:t>
  </x:si>
  <x:si>
    <x:t>세계 여러 지역에서 발생하고 있는 기후재난의 실제를 파악하고,이를 둘러싼 쟁점을 다양한 자료를 통하여 분석한다.</x:t>
  </x:si>
  <x:si>
    <x:t>[12도탐04-02]도시의 공공성을 높이기 위한 도시 정치의 중요성을 이해하고,도시를 만들어가는 주체로서 시민이 가져야 할 바람직한 태도를 함양하여 도시 정치에 적극적으로 참여한다.</x:t>
  </x:si>
  <x:si>
    <x:t>외환 시장에서 환율의 결정 원리를 이해하고,환율 변동이 국가 경제와 개인의 경제생활에 미치는 영향을 탐구한다.</x:t>
  </x:si>
  <x:si>
    <x:t>사회현상에 대한 다양한 자료 수집 방법의 특징을 비교하고,각 자료 수집 방법을 활용한 연구 사례를 분석한다.</x:t>
  </x:si>
  <x:si>
    <x:t>식생활 변화 및 세계화에 따른 우리나라 농업의 변화를 이해하고,지속가능한 농업과 농촌을 위한 정책을 제안한다.</x:t>
  </x:si>
  <x:si>
    <x:t>동아시아의 지역 간 교류를 보여주는 문화유산을 탐구한다.</x:t>
  </x:si>
  <x:si>
    <x:t>[12한탐01-02]</x:t>
  </x:si>
  <x:si>
    <x:t>[12한탐01-01]</x:t>
  </x:si>
  <x:si>
    <x:r>
      <x:t>[12역현05-01]경제의 세계화 이후 사회⋅경제적 변화를 국가,지역,세계적 차원에서 파악한다.</x:t>
    </x:r>
  </x:si>
  <x:si>
    <x:r>
      <x:t>[12역현05-03]문화 다양성 관련 국제 규범의 형성 과정을 살펴보고,그 의미와 한계를 탐구한다.</x:t>
    </x:r>
  </x:si>
  <x:si>
    <x:t>인간의 정주공간으로서의 도시를 새로운 관점에서 낯설게 바라보고,여행지로서의 향유가능성을 탐색한다.</x:t>
  </x:si>
  <x:si>
    <x:t>[12사탐02-02]</x:t>
  </x:si>
  <x:si>
    <x:t>[12사탐02-01]</x:t>
  </x:si>
  <x:si>
    <x:r>
      <x:t>[12한탐04-01]세계유산으로 등재된 한반도 자연경관의 가치를 탁월성과 보편성의 측면에서 설명하고,이를 토대로 등재 가능한 자연경관을 추천한다.</x:t>
    </x:r>
  </x:si>
  <x:si>
    <x:r>
      <x:t>[12도탐02-01]도시 간의 상호 작용과 교류에 의해 형성되는 도시 체계를 이해하고,도시 공간 구조는고정되지 않고 지속해서 재구성됨을 인식한다.</x:t>
    </x:r>
  </x:si>
  <x:si>
    <x:r>
      <x:t>[12정치02-04]미디어를 통한 정치 참여 방법의 특징과 문제점을 분석하고,유권자이자 피선거권자로서 미디어를 비판적으로 활용하는 태도를 지닌다.</x:t>
    </x:r>
  </x:si>
  <x:si>
    <x:r>
      <x:t>[12한탐04-03]우리나라 및 우리 지역에서 주로 발생하는 자연재해의 유형과 특징을 분석하고,이를 토대로 자연재해의 경감 대책을 조사하고 평가한다.</x:t>
    </x:r>
  </x:si>
  <x:si>
    <x:t>[12한탐02-03]모빌리티와 모바일,빅 데이터,플랫폼의 결합이 시⋅공간 활용에 미치는 영향을 설명하고,모빌리티 공유서비스가 일상생활에 미친 영향과 문제점을 조사해 대안을 제시한다.</x:t>
  </x:si>
  <x:si>
    <x:t>[12한탐02-01]식품의 생산,유통,소비과정을 조사함으로써 음식을 통한 생산자와 소비자,상품,장소의 연결성을 이해하고,상품사슬을 조직하는 윤리적인 방식의 가능성과 한계를 파악한다.</x:t>
  </x:si>
  <x:si>
    <x:t>[12법사01-01]</x:t>
  </x:si>
  <x:si>
    <x:t>[12한탐02-02]</x:t>
  </x:si>
  <x:si>
    <x:t>[12한탐02-01]</x:t>
  </x:si>
  <x:si>
    <x:t>[12법사01-03]</x:t>
  </x:si>
  <x:si>
    <x:t>[12한탐02-03]</x:t>
  </x:si>
  <x:si>
    <x:t>[12법사01-02]</x:t>
  </x:si>
  <x:si>
    <x:t>금융과 경제생활</x:t>
  </x:si>
  <x:si>
    <x:t>살기 좋은 도시에 대한 다양한 관점을 비교하고,살기 좋은 도시의 사례와 특징을 조사한다.</x:t>
  </x:si>
  <x:si>
    <x:r>
      <x:t>[12동역04-01]냉전 시기 동아시아 지역에서 전개된 전쟁을 탐구하고,각국의 정치⋅사회적 변화를 파악한다.</x:t>
    </x:r>
  </x:si>
  <x:si>
    <x:r>
      <x:t>[12동역04-03]동아시아의 역사 및 영토 갈등과 새롭게 대두되는 문제를 파악하고 해결하려는 자세를갖는다.</x:t>
    </x:r>
  </x:si>
  <x:si>
    <x:t>[12여지01-02]모빌리티의 변화와 발전에 따라 여행자의 이동,위치,장소가 어떻게 연결되고 관계를 맺는지 살펴보고,다양한 지도 및 지리정보기술을 활용하여 안전한 여행 계획을 수립한다.</x:t>
  </x:si>
  <x:si>
    <x:t>역사로 탐구하는 현대 세계</x:t>
  </x:si>
  <x:si>
    <x:t>사회문제 탐구</x:t>
  </x:si>
  <x:si>
    <x:r>
      <x:t>[12법사03-01]법으로 보장되는 근로자의 권리를 이해하고,이를 일상생활의 사례에 적용한다.</x:t>
    </x:r>
  </x:si>
  <x:si>
    <x:t>도시의 의미를 이해하고,도시의 특성이 도시적 생활양식에 미치는 영향을 일상 공간을사례로 탐구한다.</x:t>
  </x:si>
  <x:si>
    <x:t>아시아⋅태평양 전쟁과 이에 대한 저항과 연대의 움직임을 파악한다.</x:t>
  </x:si>
  <x:si>
    <x:t>사회</x:t>
  </x:si>
  <x:si>
    <x:r>
      <x:t>[12여지04-02]여행이 주는 가치의 재발견을 통해 자신만의 여행 포트폴리오를 구성하고 나의 삶을 변화시키는 일상 속의 다양한 여행을 실천한다.</x:t>
    </x:r>
  </x:si>
  <x:si>
    <x:t>동아시아 지역에서 전개된 제국주의 열강의 침략 전쟁을 탐구한다.</x:t>
  </x:si>
  <x:si>
    <x:t>[12기지01-02]</x:t>
  </x:si>
  <x:si>
    <x:t>[12기지01-01]</x:t>
  </x:si>
  <x:si>
    <x:t>[12금융04-02]</x:t>
  </x:si>
  <x:si>
    <x:t>[12금융04-03]</x:t>
  </x:si>
  <x:si>
    <x:t>[12금융04-01]</x:t>
  </x:si>
  <x:si>
    <x:t>인류가 직면한 평화와 안전의 상황을 다각적으로 조사한다.</x:t>
  </x:si>
  <x:si>
    <x:t>세계 경제의 성장과 기술 혁신의 변화 양상을 조사한다.</x:t>
  </x:si>
  <x:si>
    <x:t>정의,책임 그리고 배려 등과 같은 생태시민의 덕목을 사례 탐구를 통해 이해하고,인간 및 비인간이 함께 평화롭게 살아가는 공존의 세계를 위한 다층적 스케일에서의 실천 방안을 찾아 적극적으로 참여한다.</x:t>
  </x:si>
  <x:si>
    <x:t>[12사탐04-04]자신의 사회문제 탐구 과정과 결과를 연구 보고서로 작성하여 발표하고,사회문제 해결을 위한 참여는 사회 구성원으로서의 권리이자 의무라는 점을 인식하며 해결 방안을적극적으로 실천한다.</x:t>
  </x:si>
  <x:si>
    <x:t>문화 창조,첨단 기술과 같은 새로움을 지향하는 지역의 사례를 조사하고,내가 살고있는 지역의 로컬 큐레이터로서 다양한 여행 콘텐츠의 발굴과 모니터링을 통해 지역의의미와 가치를 탐색한다.</x:t>
  </x:si>
  <x:si>
    <x:t>근대 이후 국제 관계의 형성과 변화 과정을 파악한다.</x:t>
  </x:si>
  <x:si>
    <x:t>[12국관01-02]</x:t>
  </x:si>
  <x:si>
    <x:t>[12국관01-01]</x:t>
  </x:si>
  <x:si>
    <x:t>[12국관01-03]</x:t>
  </x:si>
  <x:si>
    <x:r>
      <x:t>[12기지02-03]기후정의의 관점에서 기후변화에 따른 불평등 문제의 해결 방안을 모색하고,기후변화에 대한 인간의 책임과 의무에 대해 성찰한다.</x:t>
    </x:r>
  </x:si>
  <x:si>
    <x:r>
      <x:t>[12금융01-01]행복하고 안전한 금융 생활에 필요한 금융 정보를 탐색하고 평가하며,단기와 장기의 관점을 고려하여 합리적인 금융 의사 결정을 한다.</x:t>
    </x:r>
  </x:si>
  <x:si>
    <x:t>[12역현04-03]</x:t>
  </x:si>
  <x:si>
    <x:t>[12역현04-02]</x:t>
  </x:si>
  <x:si>
    <x:t>[12역현04-01]</x:t>
  </x:si>
  <x:si>
    <x:t>[12여지01-02]</x:t>
  </x:si>
  <x:si>
    <x:t>[12여지01-01]</x:t>
  </x:si>
  <x:si>
    <x:t>[12기지04-02]</x:t>
  </x:si>
  <x:si>
    <x:t>[12기지04-03]</x:t>
  </x:si>
  <x:si>
    <x:t>[12기지04-01]</x:t>
  </x:si>
  <x:si>
    <x:t>현대 세계를 전후 체제 형성의 역사를 중심으로 파악한다.</x:t>
  </x:si>
  <x:si>
    <x:t>기후변화와 지속가능한 세계</x:t>
  </x:si>
  <x:si>
    <x:t>기후변화와 관련된 협약 및 보고서를 조사하고,그 의미를 추론한다.</x:t>
  </x:si>
  <x:si>
    <x:t>고령 사회에서 노후 설계의 필요성을 이해하고,연금의 종류와 특징을 파악하여 안정적인 노후 대비 계획을 설계한다.</x:t>
  </x:si>
  <x:si>
    <x:t>[12기지02-02]</x:t>
  </x:si>
  <x:si>
    <x:t>[12기지02-01]</x:t>
  </x:si>
  <x:si>
    <x:t>[12기지02-03]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</x:si>
</x:sst>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x:xf numFmtId="0" fontId="6" fillId="0" borderId="0" xfId="0" applyNumberFormat="1" applyFont="1" applyFill="1" applyBorder="1" applyAlignment="1" applyProtection="1">
      <x:alignment horizontal="left" vertical="center"/>
    </x:xf>
    <x:xf numFmtId="0" fontId="0" fillId="0" borderId="0" xfId="0" applyNumberFormat="1" applyFont="1" applyFill="1" applyAlignment="1" applyProtection="1">
      <x:alignment horizontal="general" vertical="center"/>
    </x:xf>
    <x:xf numFmtId="0" fontId="0" fillId="0" borderId="0" xfId="0" applyNumberFormat="1" applyFont="1" applyFill="1" applyAlignment="1" applyProtection="1">
      <x:alignment horizontal="left" vertical="center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left" vertical="center" wrapText="1"/>
    </x:xf>
    <x:xf numFmtId="0" fontId="6" fillId="0" borderId="0" xfId="0" applyNumberFormat="1" applyFont="1" applyFill="1" applyBorder="1" applyAlignment="1" applyProtection="1">
      <x:alignment horizontal="left" vertical="center" wrapText="1"/>
    </x:xf>
    <x:xf numFmtId="0" fontId="0" fillId="0" borderId="0" xfId="0">
      <x:alignment horizontal="general" vertical="center"/>
    </x:xf>
    <x:xf numFmtId="0" fontId="6" fillId="0" borderId="0" xfId="0" applyFont="1" applyAlignment="1">
      <x:alignment horizontal="general" vertical="center"/>
    </x:xf>
    <x:xf numFmtId="0" fontId="6" fillId="0" borderId="0" xfId="0" applyFont="1" applyBorder="1" applyAlignment="1">
      <x:alignment horizontal="general" vertical="center" wrapText="1"/>
    </x:xf>
    <x:xf numFmtId="0" fontId="0" fillId="0" borderId="0" xfId="0" applyBorder="1" applyAlignment="1">
      <x:alignment horizontal="general" vertical="center" wrapText="1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3.xml.rels><?xml version="1.0" encoding="UTF-8" standalone="yes" ?><Relationships xmlns="http://schemas.openxmlformats.org/package/2006/relationships"><Relationship Id="rId1" Type="http://schemas.openxmlformats.org/officeDocument/2006/relationships/image" Target="../media/image3.gif"  /></Relationships>
</file>

<file path=xl/drawings/drawing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5</xdr:col>
      <xdr:colOff>441960</xdr:colOff>
      <xdr:row>244</xdr:row>
      <xdr:rowOff>121920</xdr:rowOff>
    </xdr:from>
    <xdr:to>
      <xdr:col>5</xdr:col>
      <xdr:colOff>502920</xdr:colOff>
      <xdr:row>244</xdr:row>
      <xdr:rowOff>190500</xdr:rowOff>
    </xdr:to>
    <xdr:pic macro="" fPublished="0">
      <xdr:nvPicPr>
        <xdr:cNvPr id="17" name="그림 16"/>
        <xdr:cNvPicPr/>
      </xdr:nvPicPr>
      <xdr:blipFill rotWithShape="1">
        <a:blip r:embed="rId1"/>
        <a:stretch>
          <a:fillRect/>
        </a:stretch>
      </xdr:blipFill>
      <xdr:spPr>
        <a:xfrm>
          <a:off x="9410700" y="84216232"/>
          <a:ext cx="60960" cy="6858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X702"/>
  <x:sheetViews>
    <x:sheetView tabSelected="1" topLeftCell="A1" zoomScaleNormal="100" zoomScaleSheetLayoutView="100" workbookViewId="0">
      <x:selection activeCell="D2" activeCellId="0" sqref="D2:D2"/>
    </x:sheetView>
  </x:sheetViews>
  <x:sheetFormatPr defaultColWidth="8.796875" defaultRowHeight="16.39999999999999857891"/>
  <x:cols>
    <x:col min="1" max="1" width="8.796875" customWidth="1"/>
    <x:col min="3" max="3" width="14.59375" style="4" customWidth="1"/>
    <x:col min="4" max="4" width="76.6953125" style="4" customWidth="1"/>
    <x:col min="5" max="11" width="8.796875" style="2"/>
    <x:col min="12" max="12" width="8.796875" style="2" bestFit="1" customWidth="1"/>
    <x:col min="13" max="24" width="8.796875" style="2"/>
  </x:cols>
  <x:sheetData>
    <x:row r="1" spans="1:24">
      <x:c r="A1" t="s">
        <x:v>55</x:v>
      </x:c>
      <x:c r="B1" t="s">
        <x:v>393</x:v>
      </x:c>
      <x:c r="C1" s="5" t="s">
        <x:v>136</x:v>
      </x:c>
      <x:c r="D1" s="5" t="s">
        <x:v>147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spans="1:24" ht="32.75">
      <x:c r="A2" t="s">
        <x:v>663</x:v>
      </x:c>
      <x:c r="B2" t="s">
        <x:v>194</x:v>
      </x:c>
      <x:c r="C2" s="6" t="str">
        <x:f>LEFT(H2,SEARCH("]",H2))</x:f>
        <x:v>[10통사1-02-01]</x:v>
      </x:c>
      <x:c r="D2" s="5" t="str">
        <x:f>MID(H2,SEARCH("]",H2)+1,200)</x:f>
        <x:v>시대와 지역에 따라 다르게 나타나는 행복의 기준을 사례를 통해 비교하여 평가하고,삶의 목적으로서 행복의 의미를 성찰한다.</x:v>
      </x:c>
      <x:c r="E2" s="3"/>
      <x:c r="F2" s="3"/>
      <x:c r="G2" s="3"/>
      <x:c r="H2" s="8" t="s">
        <x:v>81</x:v>
      </x:c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spans="1:24" ht="32.75">
      <x:c r="A3" t="s">
        <x:v>663</x:v>
      </x:c>
      <x:c r="B3" t="s">
        <x:v>194</x:v>
      </x:c>
      <x:c r="C3" s="6" t="str">
        <x:f>LEFT(H3,SEARCH("]",H3))</x:f>
        <x:v>[10통사1-02-02]</x:v>
      </x:c>
      <x:c r="D3" s="5" t="str">
        <x:f>MID(H3,SEARCH("]",H3)+1,200)</x:f>
        <x:v>행복한 삶을 실현하기 위한 조건으로 질 높은 정주 환경의 조성,경제적 안정,민주주의 발전 및 도덕적 실천의 필요성에 관해 탐구한다.</x:v>
      </x:c>
      <x:c r="E3" s="3"/>
      <x:c r="F3" s="3"/>
      <x:c r="G3" s="3"/>
      <x:c r="H3" s="8" t="s">
        <x:v>482</x:v>
      </x:c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</x:row>
    <x:row r="4" spans="1:24" ht="32.75">
      <x:c r="A4" t="s">
        <x:v>663</x:v>
      </x:c>
      <x:c r="B4" t="s">
        <x:v>194</x:v>
      </x:c>
      <x:c r="C4" s="6" t="str">
        <x:f>LEFT(H4,SEARCH("]",H4))</x:f>
        <x:v>[10통사1-01-01]</x:v>
      </x:c>
      <x:c r="D4" s="5" t="str">
        <x:f>MID(H4,SEARCH("]",H4)+1,200)</x:f>
        <x:v>인간,사회,환경을 바라보는 시간적,공간적,사회적,윤리적 관점의 의미와 특징을사례를 통해 파악한다.</x:v>
      </x:c>
      <x:c r="E4" s="3"/>
      <x:c r="F4" s="3"/>
      <x:c r="G4" s="3"/>
      <x:c r="H4" s="8" t="s">
        <x:v>257</x:v>
      </x:c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spans="1:24">
      <x:c r="A5" t="s">
        <x:v>663</x:v>
      </x:c>
      <x:c r="B5" t="s">
        <x:v>194</x:v>
      </x:c>
      <x:c r="C5" s="6" t="str">
        <x:f>LEFT(H5,SEARCH("]",H5))</x:f>
        <x:v>[10통사1-01-02]</x:v>
      </x:c>
      <x:c r="D5" s="5" t="str">
        <x:f>MID(H5,SEARCH("]",H5)+1,200)</x:f>
        <x:v>인간,사회,환경의 탐구에 통합적 관점이 요청되는 이유를 도출하고 이를 탐구에 적용한다.</x:v>
      </x:c>
      <x:c r="E5" s="3"/>
      <x:c r="F5" s="3"/>
      <x:c r="G5" s="3"/>
      <x:c r="H5" s="8" t="s">
        <x:v>317</x:v>
      </x:c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</x:row>
    <x:row r="6" spans="1:24" ht="32.75">
      <x:c r="A6" t="s">
        <x:v>663</x:v>
      </x:c>
      <x:c r="B6" t="s">
        <x:v>194</x:v>
      </x:c>
      <x:c r="C6" s="6" t="str">
        <x:f>LEFT(H6,SEARCH("]",H6))</x:f>
        <x:v>[10통사1-03-01]</x:v>
      </x:c>
      <x:c r="D6" s="5" t="str">
        <x:f>MID(H6,SEARCH("]",H6)+1,200)</x:f>
        <x:v>자연환경이 인간의 생활에 미치는 영향에 관한 과거와 현재의 사례를 조사하여 분석하고,안전하고 쾌적한 환경에서 살아가는 것이 시민의 권리임을 주장한다.</x:v>
      </x:c>
      <x:c r="E6" s="3"/>
      <x:c r="F6" s="3"/>
      <x:c r="G6" s="3"/>
      <x:c r="H6" s="9" t="s">
        <x:v>383</x:v>
      </x:c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3"/>
      <x:c r="V6" s="3"/>
      <x:c r="W6" s="3"/>
      <x:c r="X6" s="3"/>
    </x:row>
    <x:row r="7" spans="1:24" ht="32.75">
      <x:c r="A7" t="s">
        <x:v>663</x:v>
      </x:c>
      <x:c r="B7" t="s">
        <x:v>194</x:v>
      </x:c>
      <x:c r="C7" s="6" t="str">
        <x:f>LEFT(H7,SEARCH("]",H7))</x:f>
        <x:v>[10통사1-03-02]</x:v>
      </x:c>
      <x:c r="D7" s="5" t="str">
        <x:f>MID(H7,SEARCH("]",H7)+1,200)</x:f>
        <x:v>자연에 대한 인간의 다양한 관점을 사례를 통해 비교하고,인간과 자연의 바람직한 관계를 제안한다.</x:v>
      </x:c>
      <x:c r="E7" s="3"/>
      <x:c r="F7" s="3"/>
      <x:c r="G7" s="3"/>
      <x:c r="H7" s="8" t="s">
        <x:v>263</x:v>
      </x:c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3"/>
      <x:c r="V7" s="3"/>
      <x:c r="W7" s="3"/>
      <x:c r="X7" s="3"/>
    </x:row>
    <x:row r="8" spans="1:24" ht="32.75">
      <x:c r="A8" t="s">
        <x:v>663</x:v>
      </x:c>
      <x:c r="B8" t="s">
        <x:v>194</x:v>
      </x:c>
      <x:c r="C8" s="6" t="str">
        <x:f>LEFT(H8,SEARCH("]",H8))</x:f>
        <x:v>[10통사1-03-03]</x:v>
      </x:c>
      <x:c r="D8" s="5" t="str">
        <x:f>MID(H8,SEARCH("]",H8)+1,200)</x:f>
        <x:v>환경 문제 해결을 위한 정부,시민사회,기업 등의 다양한 노력을 조사하고,생태시민으로서 실천 방안을 모색한다.</x:v>
      </x:c>
      <x:c r="E8" s="3"/>
      <x:c r="F8" s="3"/>
      <x:c r="G8" s="3"/>
      <x:c r="H8" s="8" t="s">
        <x:v>297</x:v>
      </x:c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3"/>
      <x:c r="V8" s="3"/>
      <x:c r="W8" s="3"/>
      <x:c r="X8" s="3"/>
    </x:row>
    <x:row r="9" spans="1:24">
      <x:c r="A9" t="s">
        <x:v>663</x:v>
      </x:c>
      <x:c r="B9" t="s">
        <x:v>194</x:v>
      </x:c>
      <x:c r="C9" s="6" t="str">
        <x:f>LEFT(H9,SEARCH("]",H9))</x:f>
        <x:v>[10통사1-04-01]</x:v>
      </x:c>
      <x:c r="D9" s="5" t="str">
        <x:f>MID(H9,SEARCH("]",H9)+1,200)</x:f>
        <x:v>자연환경과 인문환경의 영향을 받아 형성된 다양한 문화권의 특징과 삶의 방식을 탐구한다.</x:v>
      </x:c>
      <x:c r="E9" s="3"/>
      <x:c r="F9" s="3"/>
      <x:c r="G9" s="3"/>
      <x:c r="H9" s="8" t="s">
        <x:v>417</x:v>
      </x:c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</x:row>
    <x:row r="10" spans="1:24">
      <x:c r="A10" t="s">
        <x:v>663</x:v>
      </x:c>
      <x:c r="B10" t="s">
        <x:v>194</x:v>
      </x:c>
      <x:c r="C10" s="6" t="str">
        <x:f>LEFT(H10,SEARCH("]",H10))</x:f>
        <x:v>[10통사1-04-02]</x:v>
      </x:c>
      <x:c r="D10" s="5" t="str">
        <x:f>MID(H10,SEARCH("]",H10)+1,200)</x:f>
        <x:v>문화 변동의 다양한 양상을 이해하고,현대 사회에서 전통문화가 지니는 의의를 탐색한다.</x:v>
      </x:c>
      <x:c r="E10" s="3"/>
      <x:c r="F10" s="3"/>
      <x:c r="G10" s="3"/>
      <x:c r="H10" s="8" t="s">
        <x:v>418</x:v>
      </x:c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</x:row>
    <x:row r="11" spans="1:24" ht="32.75">
      <x:c r="A11" t="s">
        <x:v>663</x:v>
      </x:c>
      <x:c r="B11" t="s">
        <x:v>194</x:v>
      </x:c>
      <x:c r="C11" s="6" t="str">
        <x:f>LEFT(H11,SEARCH("]",H11))</x:f>
        <x:v>[10통사1-04-03]</x:v>
      </x:c>
      <x:c r="D11" s="5" t="str">
        <x:f>MID(H11,SEARCH("]",H11)+1,200)</x:f>
        <x:v>문화적 차이에 대한 상대주의적 태도의 필요성을 이해하고,보편 윤리의 차원에서 자문화와 타문화를 평가한다.</x:v>
      </x:c>
      <x:c r="E11" s="3"/>
      <x:c r="F11" s="3"/>
      <x:c r="G11" s="3"/>
      <x:c r="H11" s="8" t="s">
        <x:v>443</x:v>
      </x:c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</x:row>
    <x:row r="12" spans="1:24" ht="32.75">
      <x:c r="A12" t="s">
        <x:v>663</x:v>
      </x:c>
      <x:c r="B12" t="s">
        <x:v>194</x:v>
      </x:c>
      <x:c r="C12" s="6" t="str">
        <x:f>LEFT(H12,SEARCH("]",H12))</x:f>
        <x:v>[10통사1-04-04]</x:v>
      </x:c>
      <x:c r="D12" s="5" t="str">
        <x:f>MID(H12,SEARCH("]",H12)+1,200)</x:f>
        <x:v>다문화 사회의 현황을 조사하고,문화적 다양성을 존중하는 태도를 바탕으로 갈등 해결 방안을 모색한다.</x:v>
      </x:c>
      <x:c r="E12" s="3"/>
      <x:c r="F12" s="3"/>
      <x:c r="G12" s="3"/>
      <x:c r="H12" s="8" t="s">
        <x:v>442</x:v>
      </x:c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</x:row>
    <x:row r="13" spans="1:24" ht="32.75">
      <x:c r="A13" t="s">
        <x:v>663</x:v>
      </x:c>
      <x:c r="B13" t="s">
        <x:v>194</x:v>
      </x:c>
      <x:c r="C13" s="6" t="str">
        <x:f>LEFT(H13,SEARCH("]",H13))</x:f>
        <x:v>[10통사1-05-01]</x:v>
      </x:c>
      <x:c r="D13" s="5" t="str">
        <x:f>MID(H13,SEARCH("]",H13)+1,200)</x:f>
        <x:v>산업화,도시화로 인해 나타난 생활공간과 생활양식의 변화 양상을 조사하고,이에 따른 문제점의 해결 방안을 제안한다.</x:v>
      </x:c>
      <x:c r="E13" s="3"/>
      <x:c r="F13" s="3"/>
      <x:c r="G13" s="3"/>
      <x:c r="H13" s="8" t="s">
        <x:v>353</x:v>
      </x:c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3"/>
      <x:c r="V13" s="3"/>
      <x:c r="W13" s="3"/>
      <x:c r="X13" s="3"/>
    </x:row>
    <x:row r="14" spans="1:24" ht="32.75">
      <x:c r="A14" t="s">
        <x:v>663</x:v>
      </x:c>
      <x:c r="B14" t="s">
        <x:v>194</x:v>
      </x:c>
      <x:c r="C14" s="6" t="str">
        <x:f>LEFT(H14,SEARCH("]",H14))</x:f>
        <x:v>[10통사1-05-02]</x:v>
      </x:c>
      <x:c r="D14" s="5" t="str">
        <x:f>MID(H14,SEARCH("]",H14)+1,200)</x:f>
        <x:v>교통⋅통신 및 과학기술의 발달과 함께 나타난 생활공간과 생활양식의 변화 양상을조사하고,이에 따른 문제점의 해결 방안을 제안한다.</x:v>
      </x:c>
      <x:c r="E14" s="3"/>
      <x:c r="F14" s="3"/>
      <x:c r="G14" s="3"/>
      <x:c r="H14" s="9" t="s">
        <x:v>408</x:v>
      </x:c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3"/>
      <x:c r="V14" s="3"/>
      <x:c r="W14" s="3"/>
      <x:c r="X14" s="3"/>
    </x:row>
    <x:row r="15" spans="1:24" ht="32.75">
      <x:c r="A15" t="s">
        <x:v>663</x:v>
      </x:c>
      <x:c r="B15" t="s">
        <x:v>194</x:v>
      </x:c>
      <x:c r="C15" s="6" t="str">
        <x:f>LEFT(H15,SEARCH("]",H15))</x:f>
        <x:v>[10통사1-05-03]</x:v>
      </x:c>
      <x:c r="D15" s="5" t="str">
        <x:f>MID(H15,SEARCH("]",H15)+1,200)</x:f>
        <x:v>자신이 거주하는 지역을 사례로 공간 변화가 초래한 양상 및 문제점을 탐구하고,공동체의 구성원으로서 지역사회의 변화를 위한 방안을 모색하고 이를 실천한다.</x:v>
      </x:c>
      <x:c r="E15" s="3"/>
      <x:c r="F15" s="3"/>
      <x:c r="G15" s="3"/>
      <x:c r="H15" s="9" t="s">
        <x:v>388</x:v>
      </x:c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3"/>
      <x:c r="V15" s="3"/>
      <x:c r="W15" s="3"/>
      <x:c r="X15" s="3"/>
    </x:row>
    <x:row r="16" spans="1:24" ht="32.75">
      <x:c r="A16" t="s">
        <x:v>663</x:v>
      </x:c>
      <x:c r="B16" t="s">
        <x:v>567</x:v>
      </x:c>
      <x:c r="C16" s="6" t="str">
        <x:f>LEFT(H16,SEARCH("]",H16))</x:f>
        <x:v>[10통사2-01-01]</x:v>
      </x:c>
      <x:c r="D16" s="5" t="str">
        <x:f>MID(H16,SEARCH("]",H16)+1,200)</x:f>
        <x:v>근대 시민 혁명 등을 통해 확립되어 온 인권의 의미와 변화 양상을 이해하고,현대사회에서 주거,안전,환경,문화 등 다양한 영역으로 인권이 확장되고 있는 사례를 조사한다.</x:v>
      </x:c>
      <x:c r="E16" s="3"/>
      <x:c r="F16" s="3"/>
      <x:c r="G16" s="3"/>
      <x:c r="H16" s="9" t="s">
        <x:v>305</x:v>
      </x:c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3"/>
      <x:c r="V16" s="3"/>
      <x:c r="W16" s="3"/>
      <x:c r="X16" s="3"/>
    </x:row>
    <x:row r="17" spans="1:24" ht="32.75">
      <x:c r="A17" t="s">
        <x:v>663</x:v>
      </x:c>
      <x:c r="B17" t="s">
        <x:v>567</x:v>
      </x:c>
      <x:c r="C17" s="6" t="str">
        <x:f>LEFT(H17,SEARCH("]",H17))</x:f>
        <x:v>[10통사2-01-02]</x:v>
      </x:c>
      <x:c r="D17" s="5" t="str">
        <x:f>MID(H17,SEARCH("]",H17)+1,200)</x:f>
        <x:v>인간 존엄성 실현과 인권 보장을 위한 헌법의 역할을 파악하고,시민의 권익을 보호하기 위한 다양한 시민 참여의 방안을 탐구하고 이를 실천한다.</x:v>
      </x:c>
      <x:c r="E17" s="3"/>
      <x:c r="F17" s="3"/>
      <x:c r="G17" s="3"/>
      <x:c r="H17" s="9" t="s">
        <x:v>330</x:v>
      </x:c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3"/>
      <x:c r="V17" s="3"/>
      <x:c r="W17" s="3"/>
      <x:c r="X17" s="3"/>
    </x:row>
    <x:row r="18" spans="1:24" ht="32.75">
      <x:c r="A18" t="s">
        <x:v>663</x:v>
      </x:c>
      <x:c r="B18" t="s">
        <x:v>567</x:v>
      </x:c>
      <x:c r="C18" s="6" t="str">
        <x:f>LEFT(H18,SEARCH("]",H18))</x:f>
        <x:v>[10통사2-01-03]</x:v>
      </x:c>
      <x:c r="D18" s="5" t="str">
        <x:f>MID(H18,SEARCH("]",H18)+1,200)</x:f>
        <x:v>사회적 소수자 차별,청소년의 노동권 등 국내 인권 문제와 인권지수를 통해 확인할 수 있는 세계 인권 문제의 양상을 조사하고,이에 대한 해결 방안을 모색한다.</x:v>
      </x:c>
      <x:c r="E18" s="3"/>
      <x:c r="F18" s="3"/>
      <x:c r="G18" s="3"/>
      <x:c r="H18" s="9" t="s">
        <x:v>314</x:v>
      </x:c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3"/>
      <x:c r="V18" s="3"/>
      <x:c r="W18" s="3"/>
      <x:c r="X18" s="3"/>
    </x:row>
    <x:row r="19" spans="1:24" ht="32.75">
      <x:c r="A19" t="s">
        <x:v>663</x:v>
      </x:c>
      <x:c r="B19" t="s">
        <x:v>567</x:v>
      </x:c>
      <x:c r="C19" s="6" t="str">
        <x:f>LEFT(H19,SEARCH("]",H19))</x:f>
        <x:v>[10통사2-02-01]</x:v>
      </x:c>
      <x:c r="D19" s="5" t="str">
        <x:f>MID(H19,SEARCH("]",H19)+1,200)</x:f>
        <x:v>정의의 의미와 정의가 요구되는 이유를 파악하고,다양한 사례를 통해 정의의 실질적기준을 탐구한다.</x:v>
      </x:c>
      <x:c r="E19" s="3"/>
      <x:c r="F19" s="3"/>
      <x:c r="G19" s="3"/>
      <x:c r="H19" s="8" t="s">
        <x:v>261</x:v>
      </x:c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</x:row>
    <x:row r="20" spans="1:24" ht="32.75">
      <x:c r="A20" t="s">
        <x:v>663</x:v>
      </x:c>
      <x:c r="B20" t="s">
        <x:v>567</x:v>
      </x:c>
      <x:c r="C20" s="6" t="str">
        <x:f>LEFT(H20,SEARCH("]",H20))</x:f>
        <x:v>[10통사2-02-02]</x:v>
      </x:c>
      <x:c r="D20" s="5" t="str">
        <x:f>MID(H20,SEARCH("]",H20)+1,200)</x:f>
        <x:v>개인과 공동체의 관계를 기준으로 다양한 정의관을 비교하고,이를 구체적인 사례에적용하여 설명한다.</x:v>
      </x:c>
      <x:c r="E20" s="3"/>
      <x:c r="F20" s="3"/>
      <x:c r="G20" s="3"/>
      <x:c r="H20" s="8" t="s">
        <x:v>259</x:v>
      </x:c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</x:row>
    <x:row r="21" spans="1:24" ht="32.75">
      <x:c r="A21" t="s">
        <x:v>663</x:v>
      </x:c>
      <x:c r="B21" t="s">
        <x:v>567</x:v>
      </x:c>
      <x:c r="C21" s="6" t="str">
        <x:f>LEFT(H21,SEARCH("]",H21))</x:f>
        <x:v>[10통사2-02-03]</x:v>
      </x:c>
      <x:c r="D21" s="5" t="str">
        <x:f>MID(H21,SEARCH("]",H21)+1,200)</x:f>
        <x:v>사회 및 공간 불평등 현상의 사례를 조사하고,정의로운 사회를 만들기 위한 다양한제도와 시민으로서의 실천 방안을 제안한다.</x:v>
      </x:c>
      <x:c r="E21" s="3"/>
      <x:c r="F21" s="3"/>
      <x:c r="G21" s="3"/>
      <x:c r="H21" s="8" t="s">
        <x:v>555</x:v>
      </x:c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</x:row>
    <x:row r="22" spans="1:24" ht="32.75">
      <x:c r="A22" t="s">
        <x:v>663</x:v>
      </x:c>
      <x:c r="B22" t="s">
        <x:v>567</x:v>
      </x:c>
      <x:c r="C22" s="6" t="str">
        <x:f>LEFT(H22,SEARCH("]",H22))</x:f>
        <x:v>[10통사2-03-01]</x:v>
      </x:c>
      <x:c r="D22" s="5" t="str">
        <x:f>MID(H22,SEARCH("]",H22)+1,200)</x:f>
        <x:v>자본주의의 역사적 전개 과정과 그 특징을 조사하고,시장과 정부의 관계를 중심으로다양한 삶의 방식을 비교 평가한다.</x:v>
      </x:c>
      <x:c r="E22" s="3"/>
      <x:c r="F22" s="3"/>
      <x:c r="G22" s="3"/>
      <x:c r="H22" s="8" t="s">
        <x:v>369</x:v>
      </x:c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3"/>
      <x:c r="V22" s="3"/>
      <x:c r="W22" s="3"/>
      <x:c r="X22" s="3"/>
    </x:row>
    <x:row r="23" spans="1:24" ht="32.75">
      <x:c r="A23" t="s">
        <x:v>663</x:v>
      </x:c>
      <x:c r="B23" t="s">
        <x:v>567</x:v>
      </x:c>
      <x:c r="C23" s="6" t="str">
        <x:f>LEFT(H23,SEARCH("]",H23))</x:f>
        <x:v>[10통사2-03-02]</x:v>
      </x:c>
      <x:c r="D23" s="5" t="str">
        <x:f>MID(H23,SEARCH("]",H23)+1,200)</x:f>
        <x:v>합리적 선택의 의미와 그 한계를 파악하고,지속가능발전을 위해 요청되는 정부,기업가,노동자,소비자의 바람직한 역할과 책임에 관해 탐구한다.</x:v>
      </x:c>
      <x:c r="E23" s="3"/>
      <x:c r="F23" s="3"/>
      <x:c r="G23" s="3"/>
      <x:c r="H23" s="9" t="s">
        <x:v>332</x:v>
      </x:c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3"/>
      <x:c r="V23" s="3"/>
      <x:c r="W23" s="3"/>
      <x:c r="X23" s="3"/>
    </x:row>
    <x:row r="24" spans="1:24" ht="32.75">
      <x:c r="A24" t="s">
        <x:v>663</x:v>
      </x:c>
      <x:c r="B24" t="s">
        <x:v>567</x:v>
      </x:c>
      <x:c r="C24" s="6" t="str">
        <x:f>LEFT(H24,SEARCH("]",H24))</x:f>
        <x:v>[10통사2-03-03]</x:v>
      </x:c>
      <x:c r="D24" s="5" t="str">
        <x:f>MID(H24,SEARCH("]",H24)+1,200)</x:f>
        <x:v>금융 자산의 특징과 자산 관리의 원칙을 토대로 금융 생활을 설계하고,경제적,사회적 환경의 변화가 금융과 관련한 의사 결정에 미치는 영향을 탐구한다.</x:v>
      </x:c>
      <x:c r="E24" s="3"/>
      <x:c r="F24" s="3"/>
      <x:c r="G24" s="3"/>
      <x:c r="H24" s="9" t="s">
        <x:v>100</x:v>
      </x:c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3"/>
      <x:c r="V24" s="3"/>
      <x:c r="W24" s="3"/>
      <x:c r="X24" s="3"/>
    </x:row>
    <x:row r="25" spans="1:24" ht="32.75">
      <x:c r="A25" t="s">
        <x:v>663</x:v>
      </x:c>
      <x:c r="B25" t="s">
        <x:v>567</x:v>
      </x:c>
      <x:c r="C25" s="6" t="str">
        <x:f>LEFT(H25,SEARCH("]",H25))</x:f>
        <x:v>[10통사2-03-04]</x:v>
      </x:c>
      <x:c r="D25" s="5" t="str">
        <x:f>MID(H25,SEARCH("]",H25)+1,200)</x:f>
        <x:v>자원,노동,자본의 지역 분포에 따른 국제 분업과 무역의 필요성을 이해하고,지속가능발전에 기여하는 국제무역의 방안을 탐색한다.</x:v>
      </x:c>
      <x:c r="E25" s="3"/>
      <x:c r="F25" s="3"/>
      <x:c r="G25" s="3"/>
      <x:c r="H25" s="8" t="s">
        <x:v>184</x:v>
      </x:c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3"/>
      <x:c r="V25" s="3"/>
      <x:c r="W25" s="3"/>
      <x:c r="X25" s="3"/>
    </x:row>
    <x:row r="26" spans="1:24">
      <x:c r="A26" t="s">
        <x:v>663</x:v>
      </x:c>
      <x:c r="B26" t="s">
        <x:v>567</x:v>
      </x:c>
      <x:c r="C26" s="6" t="str">
        <x:f>LEFT(H26,SEARCH("]",H26))</x:f>
        <x:v>[10통사2-04-01]</x:v>
      </x:c>
      <x:c r="D26" s="5" t="str">
        <x:f>MID(H26,SEARCH("]",H26)+1,200)</x:f>
        <x:v>세계화의 다양한 양상을 살펴보고,세계화 시대의 문제점과 그에 대한 해결 방안을 제안한다.</x:v>
      </x:c>
      <x:c r="E26" s="3"/>
      <x:c r="F26" s="3"/>
      <x:c r="G26" s="3"/>
      <x:c r="H26" s="8" t="s">
        <x:v>321</x:v>
      </x:c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</x:row>
    <x:row r="27" spans="1:24" ht="32.75">
      <x:c r="A27" t="s">
        <x:v>663</x:v>
      </x:c>
      <x:c r="B27" t="s">
        <x:v>567</x:v>
      </x:c>
      <x:c r="C27" s="6" t="str">
        <x:f>LEFT(H27,SEARCH("]",H27))</x:f>
        <x:v>[10통사2-04-02]</x:v>
      </x:c>
      <x:c r="D27" s="5" t="str">
        <x:f>MID(H27,SEARCH("]",H27)+1,200)</x:f>
        <x:v>평화의 관점에서 국제 사회의 갈등과 협력의 사례를 조사하고,세계 평화를 위한 행위 주체의 바람직한 역할을 탐색한다.</x:v>
      </x:c>
      <x:c r="E27" s="3"/>
      <x:c r="F27" s="3"/>
      <x:c r="G27" s="3"/>
      <x:c r="H27" s="8" t="s">
        <x:v>365</x:v>
      </x:c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 spans="1:24" ht="32.75">
      <x:c r="A28" t="s">
        <x:v>663</x:v>
      </x:c>
      <x:c r="B28" t="s">
        <x:v>567</x:v>
      </x:c>
      <x:c r="C28" s="6" t="str">
        <x:f>LEFT(H28,SEARCH("]",H28))</x:f>
        <x:v>[10통사2-04-03]</x:v>
      </x:c>
      <x:c r="D28" s="5" t="str">
        <x:f>MID(H28,SEARCH("]",H28)+1,200)</x:f>
        <x:v>남북 분단과 동아시아의 역사 갈등 상황을 분석하고,이를 토대로 우리나라가 세계 평화에 기여할 수 있는 방안을 제안한다.</x:v>
      </x:c>
      <x:c r="E28" s="3"/>
      <x:c r="F28" s="3"/>
      <x:c r="G28" s="3"/>
      <x:c r="H28" s="8" t="s">
        <x:v>364</x:v>
      </x:c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 spans="1:24" ht="32.75">
      <x:c r="A29" t="s">
        <x:v>663</x:v>
      </x:c>
      <x:c r="B29" t="s">
        <x:v>567</x:v>
      </x:c>
      <x:c r="C29" s="6" t="str">
        <x:f>LEFT(H29,SEARCH("]",H29))</x:f>
        <x:v>[10통사2-05-01]</x:v>
      </x:c>
      <x:c r="D29" s="5" t="str">
        <x:f>MID(H29,SEARCH("]",H29)+1,200)</x:f>
        <x:v>세계의 인구 분포와 구조 등에 대한 이해를 토대로 현재와 미래의 인구 문제 양상을파악하고,그 해결 방안을 제안한다.</x:v>
      </x:c>
      <x:c r="E29" s="3"/>
      <x:c r="F29" s="3"/>
      <x:c r="G29" s="3"/>
      <x:c r="H29" s="8" t="s">
        <x:v>371</x:v>
      </x:c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3"/>
      <x:c r="V29" s="3"/>
      <x:c r="W29" s="3"/>
      <x:c r="X29" s="3"/>
    </x:row>
    <x:row r="30" spans="1:24" ht="32.75">
      <x:c r="A30" t="s">
        <x:v>663</x:v>
      </x:c>
      <x:c r="B30" t="s">
        <x:v>567</x:v>
      </x:c>
      <x:c r="C30" s="6" t="str">
        <x:f>LEFT(H30,SEARCH("]",H30))</x:f>
        <x:v>[10통사2-05-02]</x:v>
      </x:c>
      <x:c r="D30" s="5" t="str">
        <x:f>MID(H30,SEARCH("]",H30)+1,200)</x:f>
        <x:v>지구적 차원에서 에너지 자원의 분포와 소비 실태를 파악하고,기후변화에 대한 대응과 지속가능한 발전을 위한 제도적 방안과 개인적 노력을 탐구한다.</x:v>
      </x:c>
      <x:c r="E30" s="3"/>
      <x:c r="F30" s="3"/>
      <x:c r="G30" s="3"/>
      <x:c r="H30" s="9" t="s">
        <x:v>104</x:v>
      </x:c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3"/>
      <x:c r="V30" s="3"/>
      <x:c r="W30" s="3"/>
      <x:c r="X30" s="3"/>
    </x:row>
    <x:row r="31" spans="1:24" ht="32.75">
      <x:c r="A31" t="s">
        <x:v>663</x:v>
      </x:c>
      <x:c r="B31" t="s">
        <x:v>567</x:v>
      </x:c>
      <x:c r="C31" s="6" t="str">
        <x:f>LEFT(H31,SEARCH("]",H31))</x:f>
        <x:v>[10통사2-05-03]</x:v>
      </x:c>
      <x:c r="D31" s="5" t="str">
        <x:f>MID(H31,SEARCH("]",H31)+1,200)</x:f>
        <x:v>미래 사회의 모습을 다양한 측면에서 예측하고,이를 바탕으로 세계시민으로서 자신의 미래 삶의 방향을 설정한다.</x:v>
      </x:c>
      <x:c r="E31" s="3"/>
      <x:c r="F31" s="3"/>
      <x:c r="G31" s="3"/>
      <x:c r="H31" s="8" t="s">
        <x:v>300</x:v>
      </x:c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3"/>
      <x:c r="V31" s="3"/>
      <x:c r="W31" s="3"/>
      <x:c r="X31" s="3"/>
    </x:row>
    <x:row r="32" spans="1:24" ht="32.75">
      <x:c r="A32" t="s">
        <x:v>663</x:v>
      </x:c>
      <x:c r="B32" t="s">
        <x:v>209</x:v>
      </x:c>
      <x:c r="C32" s="6" t="str">
        <x:f>LEFT(H32,SEARCH("]",H32))</x:f>
        <x:v>[12세지01-01]</x:v>
      </x:c>
      <x:c r="D32" s="5" t="str">
        <x:f>MID(H32,SEARCH("]",H32)+1,200)</x:f>
        <x:v>세계화의 의미를 지리적 스케일에 따라 이해하고,세계화와 지역화의 관계 속에서 세계시민의 역할을 탐색한다.</x:v>
      </x:c>
      <x:c r="E32" s="3"/>
      <x:c r="F32" s="3"/>
      <x:c r="G32" s="3"/>
      <x:c r="H32" s="8" t="s">
        <x:v>452</x:v>
      </x:c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spans="1:24" ht="32.75">
      <x:c r="A33" t="s">
        <x:v>663</x:v>
      </x:c>
      <x:c r="B33" t="s">
        <x:v>209</x:v>
      </x:c>
      <x:c r="C33" s="6" t="str">
        <x:f>LEFT(H33,SEARCH("]",H33))</x:f>
        <x:v>[12세지01-02]</x:v>
      </x:c>
      <x:c r="D33" s="5" t="str">
        <x:f>MID(H33,SEARCH("]",H33)+1,200)</x:f>
        <x:v>지역 통합과 분리 현상의 사례와 주요 원인을 탐구하고,이를 바탕으로 지역 변화의 역동성을 파악한다.</x:v>
      </x:c>
      <x:c r="E33" s="3"/>
      <x:c r="F33" s="3"/>
      <x:c r="G33" s="3"/>
      <x:c r="H33" s="8" t="s">
        <x:v>264</x:v>
      </x:c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spans="1:24" ht="32.75">
      <x:c r="A34" t="s">
        <x:v>663</x:v>
      </x:c>
      <x:c r="B34" t="s">
        <x:v>209</x:v>
      </x:c>
      <x:c r="C34" s="6" t="str">
        <x:f>LEFT(H34,SEARCH("]",H34))</x:f>
        <x:v>[12세지01-03]</x:v>
      </x:c>
      <x:c r="D34" s="5" t="str">
        <x:f>MID(H34,SEARCH("]",H34)+1,200)</x:f>
        <x:v>지리정보기술이 세계시민의 삶과 연계되는 다양한 모습을 이해하고,지리적 문제 해결및 의사 결정에 활용되는 사례를 조사한다.</x:v>
      </x:c>
      <x:c r="E34" s="3"/>
      <x:c r="F34" s="3"/>
      <x:c r="G34" s="3"/>
      <x:c r="H34" s="8" t="s">
        <x:v>354</x:v>
      </x:c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 spans="1:24" ht="32.75">
      <x:c r="A35" t="s">
        <x:v>663</x:v>
      </x:c>
      <x:c r="B35" t="s">
        <x:v>209</x:v>
      </x:c>
      <x:c r="C35" s="6" t="str">
        <x:f>LEFT(H35,SEARCH("]",H35))</x:f>
        <x:v>[12세지02-01]</x:v>
      </x:c>
      <x:c r="D35" s="5" t="str">
        <x:f>MID(H35,SEARCH("]",H35)+1,200)</x:f>
        <x:v>세계의 다양한 기후에 대한 이해를 바탕으로 기후를 활용하거나 극복한 사례를 찾아 인간 생활과의 관계를 탐색한다.</x:v>
      </x:c>
      <x:c r="E35" s="3"/>
      <x:c r="F35" s="3"/>
      <x:c r="G35" s="3"/>
      <x:c r="H35" s="8" t="s">
        <x:v>299</x:v>
      </x:c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 spans="1:24" ht="32.75">
      <x:c r="A36" t="s">
        <x:v>663</x:v>
      </x:c>
      <x:c r="B36" t="s">
        <x:v>209</x:v>
      </x:c>
      <x:c r="C36" s="6" t="str">
        <x:f>LEFT(H36,SEARCH("]",H36))</x:f>
        <x:v>[12세지02-02]</x:v>
      </x:c>
      <x:c r="D36" s="5" t="str">
        <x:f>MID(H36,SEARCH("]",H36)+1,200)</x:f>
        <x:v>세계 주요 지형과 인간 생활의 상관성을 파악하고,지형의 개발과 보존을 둘러싼 갈등사례를 통해 지속가능한 이용 방안을 토론한다.</x:v>
      </x:c>
      <x:c r="E36" s="3"/>
      <x:c r="F36" s="3"/>
      <x:c r="G36" s="3"/>
      <x:c r="H36" s="8" t="s">
        <x:v>554</x:v>
      </x:c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</x:row>
    <x:row r="37" spans="1:24" ht="32.75">
      <x:c r="A37" t="s">
        <x:v>663</x:v>
      </x:c>
      <x:c r="B37" t="s">
        <x:v>209</x:v>
      </x:c>
      <x:c r="C37" s="6" t="str">
        <x:f>LEFT(H37,SEARCH("]",H37))</x:f>
        <x:v>[12세지02-03]</x:v>
      </x:c>
      <x:c r="D37" s="5" t="str">
        <x:f>MID(H37,SEARCH("]",H37)+1,200)</x:f>
        <x:v>세계 주요 종교의 특징 및 종교 경관의 의미를 이해하고,각 종교가 인간 생활에 미치는 영향을 탐구한다.</x:v>
      </x:c>
      <x:c r="E37" s="3"/>
      <x:c r="F37" s="3"/>
      <x:c r="G37" s="3"/>
      <x:c r="H37" s="8" t="s">
        <x:v>450</x:v>
      </x:c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</x:row>
    <x:row r="38" spans="1:24" ht="32.75">
      <x:c r="A38" t="s">
        <x:v>663</x:v>
      </x:c>
      <x:c r="B38" t="s">
        <x:v>209</x:v>
      </x:c>
      <x:c r="C38" s="6" t="str">
        <x:f>LEFT(H38,SEARCH("]",H38))</x:f>
        <x:v>[12세지02-04]</x:v>
      </x:c>
      <x:c r="D38" s="5" t="str">
        <x:f>MID(H38,SEARCH("]",H38)+1,200)</x:f>
        <x:v>세계의 다양한 음식과 축제를 지리적으로 설명하고,문화 다양성을 보존하기 위한 방법을 모색한다.</x:v>
      </x:c>
      <x:c r="E38" s="3"/>
      <x:c r="F38" s="3"/>
      <x:c r="G38" s="3"/>
      <x:c r="H38" s="8" t="s">
        <x:v>559</x:v>
      </x:c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</x:row>
    <x:row r="39" spans="1:24" ht="32.75">
      <x:c r="A39" t="s">
        <x:v>663</x:v>
      </x:c>
      <x:c r="B39" t="s">
        <x:v>209</x:v>
      </x:c>
      <x:c r="C39" s="6" t="str">
        <x:f>LEFT(H39,SEARCH("]",H39))</x:f>
        <x:v>[12세지03-01]</x:v>
      </x:c>
      <x:c r="D39" s="5" t="str">
        <x:f>MID(H39,SEARCH("]",H39)+1,200)</x:f>
        <x:v>세계 인구 분포 및 구조를 통해 세계 인구 문제를 이해하고,국제적 이주가 인구 유출지역과 유입 지역에 미치는 영향을 탐구한다.</x:v>
      </x:c>
      <x:c r="E39" s="3"/>
      <x:c r="F39" s="3"/>
      <x:c r="G39" s="3"/>
      <x:c r="H39" s="8" t="s">
        <x:v>33</x:v>
      </x:c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3"/>
      <x:c r="V39" s="3"/>
      <x:c r="W39" s="3"/>
      <x:c r="X39" s="3"/>
    </x:row>
    <x:row r="40" spans="1:24" ht="32.75">
      <x:c r="A40" t="s">
        <x:v>663</x:v>
      </x:c>
      <x:c r="B40" t="s">
        <x:v>209</x:v>
      </x:c>
      <x:c r="C40" s="6" t="str">
        <x:f>LEFT(H40,SEARCH("]",H40))</x:f>
        <x:v>[12세지03-02]</x:v>
      </x:c>
      <x:c r="D40" s="5" t="str">
        <x:f>MID(H40,SEARCH("]",H40)+1,200)</x:f>
        <x:v>주요 식량 자원의 생산과 소비 양상을 통해 세계 식량 문제가 발생하는 구조적 원인을파악하고,식량의 안정적인 생산과 공급을 위한 각국의 대응 전략을 비교⋅분석한다.</x:v>
      </x:c>
      <x:c r="E40" s="3"/>
      <x:c r="F40" s="3"/>
      <x:c r="G40" s="3"/>
      <x:c r="H40" s="9" t="s">
        <x:v>326</x:v>
      </x:c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3"/>
      <x:c r="V40" s="3"/>
      <x:c r="W40" s="3"/>
      <x:c r="X40" s="3"/>
    </x:row>
    <x:row r="41" spans="1:24" ht="32.75">
      <x:c r="A41" t="s">
        <x:v>663</x:v>
      </x:c>
      <x:c r="B41" t="s">
        <x:v>209</x:v>
      </x:c>
      <x:c r="C41" s="6" t="str">
        <x:f>LEFT(H41,SEARCH("]",H41))</x:f>
        <x:v>[12세지03-03]</x:v>
      </x:c>
      <x:c r="D41" s="5" t="str">
        <x:f>MID(H41,SEARCH("]",H41)+1,200)</x:f>
        <x:v>초국적 기업을 중심으로 한 글로벌 경제 체제의 형성 과정을 탐색하고,글로벌 경제에서의공간적 불균등을 해소하기 위한 국제적 협력과 개인적 실천 방안에 대해 조사한다.</x:v>
      </x:c>
      <x:c r="E41" s="3"/>
      <x:c r="F41" s="3"/>
      <x:c r="G41" s="3"/>
      <x:c r="H41" s="9" t="s">
        <x:v>327</x:v>
      </x:c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3"/>
      <x:c r="V41" s="3"/>
      <x:c r="W41" s="3"/>
      <x:c r="X41" s="3"/>
    </x:row>
    <x:row r="42" spans="1:24" ht="32.75">
      <x:c r="A42" t="s">
        <x:v>663</x:v>
      </x:c>
      <x:c r="B42" t="s">
        <x:v>209</x:v>
      </x:c>
      <x:c r="C42" s="6" t="str">
        <x:f>LEFT(H42,SEARCH("]",H42))</x:f>
        <x:v>[12세지04-01]</x:v>
      </x:c>
      <x:c r="D42" s="5" t="str">
        <x:f>MID(H42,SEARCH("]",H42)+1,200)</x:f>
        <x:v>세계 주요 에너지 자원의 생산과 소비 현황을 조사하고,다양한 친환경 에너지원의특징에 대한 이해를 바탕으로 지속가능한 에너지 생산 방안을 제시한다.</x:v>
      </x:c>
      <x:c r="E42" s="3"/>
      <x:c r="F42" s="3"/>
      <x:c r="G42" s="3"/>
      <x:c r="H42" s="9" t="s">
        <x:v>107</x:v>
      </x:c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3"/>
      <x:c r="V42" s="3"/>
      <x:c r="W42" s="3"/>
      <x:c r="X42" s="3"/>
    </x:row>
    <x:row r="43" spans="1:24" ht="32.75">
      <x:c r="A43" t="s">
        <x:v>663</x:v>
      </x:c>
      <x:c r="B43" t="s">
        <x:v>209</x:v>
      </x:c>
      <x:c r="C43" s="6" t="str">
        <x:f>LEFT(H43,SEARCH("]",H43))</x:f>
        <x:v>[12세지04-02]</x:v>
      </x:c>
      <x:c r="D43" s="5" t="str">
        <x:f>MID(H43,SEARCH("]",H43)+1,200)</x:f>
        <x:v>세계 주요 환경 문제의 유형과 실태를 설명하고,생태전환적 삶에 비추어 현재의 생활방식을 비판적으로 점검한다.</x:v>
      </x:c>
      <x:c r="E43" s="3"/>
      <x:c r="F43" s="3"/>
      <x:c r="G43" s="3"/>
      <x:c r="H43" s="8" t="s">
        <x:v>439</x:v>
      </x:c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3"/>
      <x:c r="V43" s="3"/>
      <x:c r="W43" s="3"/>
      <x:c r="X43" s="3"/>
    </x:row>
    <x:row r="44" spans="1:24" ht="32.75">
      <x:c r="A44" t="s">
        <x:v>663</x:v>
      </x:c>
      <x:c r="B44" t="s">
        <x:v>209</x:v>
      </x:c>
      <x:c r="C44" s="6" t="str">
        <x:f>LEFT(H44,SEARCH("]",H44))</x:f>
        <x:v>[12세지04-03]</x:v>
      </x:c>
      <x:c r="D44" s="5" t="str">
        <x:f>MID(H44,SEARCH("]",H44)+1,200)</x:f>
        <x:v>다양한 지정학적 분쟁을 국제 정세의 변화와 관련지어 조사하고,세계 평화와 정의에 기여할 수 있는 방안을 찾아 실천한다.</x:v>
      </x:c>
      <x:c r="E44" s="3"/>
      <x:c r="F44" s="3"/>
      <x:c r="G44" s="3"/>
      <x:c r="H44" s="8" t="s">
        <x:v>362</x:v>
      </x:c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3"/>
      <x:c r="V44" s="3"/>
      <x:c r="W44" s="3"/>
      <x:c r="X44" s="3"/>
    </x:row>
    <x:row r="45" spans="1:24">
      <x:c r="A45" t="s">
        <x:v>663</x:v>
      </x:c>
      <x:c r="B45" t="s">
        <x:v>26</x:v>
      </x:c>
      <x:c r="C45" s="6" t="str">
        <x:f>LEFT(H45,SEARCH("]",H45))</x:f>
        <x:v>[12세사01-01]</x:v>
      </x:c>
      <x:c r="D45" s="5" t="str">
        <x:f>MID(H45,SEARCH("]",H45)+1,200)</x:f>
        <x:v>현생 인류의 삶과 문명의 형성을 생태환경과의 관계 속에서 파악한다.</x:v>
      </x:c>
      <x:c r="E45" s="3"/>
      <x:c r="F45" s="3"/>
      <x:c r="G45" s="3"/>
      <x:c r="H45" s="8" t="s">
        <x:v>60</x:v>
      </x:c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</x:row>
    <x:row r="46" spans="1:24">
      <x:c r="A46" t="s">
        <x:v>663</x:v>
      </x:c>
      <x:c r="B46" t="s">
        <x:v>26</x:v>
      </x:c>
      <x:c r="C46" s="6" t="str">
        <x:f>LEFT(H46,SEARCH("]",H46))</x:f>
        <x:v>[12세사01-02]</x:v>
      </x:c>
      <x:c r="D46" s="5" t="str">
        <x:f>MID(H46,SEARCH("]",H46)+1,200)</x:f>
        <x:v>동아시아,인도 세계의 형성을 문화의 상호 작용과 관련지어 이해한다.</x:v>
      </x:c>
      <x:c r="E46" s="3"/>
      <x:c r="F46" s="3"/>
      <x:c r="G46" s="3"/>
      <x:c r="H46" s="8" t="s">
        <x:v>61</x:v>
      </x:c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</x:row>
    <x:row r="47" spans="1:24">
      <x:c r="A47" t="s">
        <x:v>663</x:v>
      </x:c>
      <x:c r="B47" t="s">
        <x:v>26</x:v>
      </x:c>
      <x:c r="C47" s="6" t="str">
        <x:f>LEFT(H47,SEARCH("]",H47))</x:f>
        <x:v>[12세사01-03]</x:v>
      </x:c>
      <x:c r="D47" s="5" t="str">
        <x:f>MID(H47,SEARCH("]",H47)+1,200)</x:f>
        <x:v>서아시아,지중해,유럽 세계의 형성과 문화적 특징을 종교의 확산과 관련지어 분석한다.</x:v>
      </x:c>
      <x:c r="E47" s="3"/>
      <x:c r="F47" s="3"/>
      <x:c r="G47" s="3"/>
      <x:c r="H47" s="8" t="s">
        <x:v>66</x:v>
      </x:c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</x:row>
    <x:row r="48" spans="1:24">
      <x:c r="A48" t="s">
        <x:v>663</x:v>
      </x:c>
      <x:c r="B48" t="s">
        <x:v>26</x:v>
      </x:c>
      <x:c r="C48" s="6" t="str">
        <x:f>LEFT(H48,SEARCH("]",H48))</x:f>
        <x:v>[12세사02-01]</x:v>
      </x:c>
      <x:c r="D48" s="5" t="str">
        <x:f>MID(H48,SEARCH("]",H48)+1,200)</x:f>
        <x:v>이슬람 세계와 몽골 제국의 팽창에 따른 교류 양상을 파악한다.</x:v>
      </x:c>
      <x:c r="E48" s="3"/>
      <x:c r="F48" s="3"/>
      <x:c r="G48" s="3"/>
      <x:c r="H48" s="8" t="s">
        <x:v>210</x:v>
      </x:c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</x:row>
    <x:row r="49" spans="1:24">
      <x:c r="A49" t="s">
        <x:v>663</x:v>
      </x:c>
      <x:c r="B49" t="s">
        <x:v>26</x:v>
      </x:c>
      <x:c r="C49" s="6" t="str">
        <x:f>LEFT(H49,SEARCH("]",H49))</x:f>
        <x:v>[12세사02-02]</x:v>
      </x:c>
      <x:c r="D49" s="5" t="str">
        <x:f>MID(H49,SEARCH("]",H49)+1,200)</x:f>
        <x:v>유럽의 신항로 개척과 재정⋅군사 국가의 성립이 가져온 변화를 분석한다.</x:v>
      </x:c>
      <x:c r="E49" s="3"/>
      <x:c r="F49" s="3"/>
      <x:c r="G49" s="3"/>
      <x:c r="H49" s="8" t="s">
        <x:v>196</x:v>
      </x:c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</x:row>
    <x:row r="50" spans="1:24">
      <x:c r="A50" t="s">
        <x:v>663</x:v>
      </x:c>
      <x:c r="B50" t="s">
        <x:v>26</x:v>
      </x:c>
      <x:c r="C50" s="6" t="str">
        <x:f>LEFT(H50,SEARCH("]",H50))</x:f>
        <x:v>[12세사02-03]</x:v>
      </x:c>
      <x:c r="D50" s="5" t="str">
        <x:f>MID(H50,SEARCH("]",H50)+1,200)</x:f>
        <x:v>세계적 상품 교역이 가져온 사회적⋅경제적 변화를 이해한다.</x:v>
      </x:c>
      <x:c r="E50" s="3"/>
      <x:c r="F50" s="3"/>
      <x:c r="G50" s="3"/>
      <x:c r="H50" s="8" t="s">
        <x:v>465</x:v>
      </x:c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</x:row>
    <x:row r="51" spans="1:24">
      <x:c r="A51" t="s">
        <x:v>663</x:v>
      </x:c>
      <x:c r="B51" t="s">
        <x:v>26</x:v>
      </x:c>
      <x:c r="C51" s="6" t="str">
        <x:f>LEFT(H51,SEARCH("]",H51))</x:f>
        <x:v>[12세사03-01]</x:v>
      </x:c>
      <x:c r="D51" s="5" t="str">
        <x:f>MID(H51,SEARCH("]",H51)+1,200)</x:f>
        <x:v>청,무굴 제국,오스만 제국의 통치 정책과 사회,문화의 변화를 이해한다.</x:v>
      </x:c>
      <x:c r="E51" s="3"/>
      <x:c r="F51" s="3"/>
      <x:c r="G51" s="3"/>
      <x:c r="H51" s="8" t="s">
        <x:v>402</x:v>
      </x:c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</x:row>
    <x:row r="52" spans="1:24">
      <x:c r="A52" t="s">
        <x:v>663</x:v>
      </x:c>
      <x:c r="B52" t="s">
        <x:v>26</x:v>
      </x:c>
      <x:c r="C52" s="6" t="str">
        <x:f>LEFT(H52,SEARCH("]",H52))</x:f>
        <x:v>[12세사03-02]</x:v>
      </x:c>
      <x:c r="D52" s="5" t="str">
        <x:f>MID(H52,SEARCH("]",H52)+1,200)</x:f>
        <x:v>미국 혁명,프랑스 혁명을 시민 사회 형성과 관련지어 파악한다.</x:v>
      </x:c>
      <x:c r="E52" s="3"/>
      <x:c r="F52" s="3"/>
      <x:c r="G52" s="3"/>
      <x:c r="H52" s="8" t="s">
        <x:v>211</x:v>
      </x:c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</x:row>
    <x:row r="53" spans="1:24">
      <x:c r="A53" t="s">
        <x:v>663</x:v>
      </x:c>
      <x:c r="B53" t="s">
        <x:v>26</x:v>
      </x:c>
      <x:c r="C53" s="6" t="str">
        <x:f>LEFT(H53,SEARCH("]",H53))</x:f>
        <x:v>[12세사03-03]</x:v>
      </x:c>
      <x:c r="D53" s="5" t="str">
        <x:f>MID(H53,SEARCH("]",H53)+1,200)</x:f>
        <x:v>제1⋅2차 산업 혁명이 가져온 사회,경제,생태환경의 변화를 분석한다.</x:v>
      </x:c>
      <x:c r="E53" s="3"/>
      <x:c r="F53" s="3"/>
      <x:c r="G53" s="3"/>
      <x:c r="H53" s="8" t="s">
        <x:v>400</x:v>
      </x:c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</x:row>
    <x:row r="54" spans="1:24">
      <x:c r="A54" t="s">
        <x:v>663</x:v>
      </x:c>
      <x:c r="B54" t="s">
        <x:v>26</x:v>
      </x:c>
      <x:c r="C54" s="6" t="str">
        <x:f>LEFT(H54,SEARCH("]",H54))</x:f>
        <x:v>[12세사03-04]</x:v>
      </x:c>
      <x:c r="D54" s="5" t="str">
        <x:f>MID(H54,SEARCH("]",H54)+1,200)</x:f>
        <x:v>아시아와 아프리카 지역에서 전개된 국민 국가 건설 운동의 양상과 성격을 비교한다.</x:v>
      </x:c>
      <x:c r="E54" s="3"/>
      <x:c r="F54" s="3"/>
      <x:c r="G54" s="3"/>
      <x:c r="H54" s="8" t="s">
        <x:v>65</x:v>
      </x:c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</x:row>
    <x:row r="55" spans="1:24">
      <x:c r="A55" t="s">
        <x:v>663</x:v>
      </x:c>
      <x:c r="B55" t="s">
        <x:v>26</x:v>
      </x:c>
      <x:c r="C55" s="6" t="str">
        <x:f>LEFT(H55,SEARCH("]",H55))</x:f>
        <x:v>[12세사04-01]</x:v>
      </x:c>
      <x:c r="D55" s="5" t="str">
        <x:f>MID(H55,SEARCH("]",H55)+1,200)</x:f>
        <x:v>제1⋅2차 세계 대전을 인권,과학 기술 문제와 관련지어 파악한다.</x:v>
      </x:c>
      <x:c r="E55" s="3"/>
      <x:c r="F55" s="3"/>
      <x:c r="G55" s="3"/>
      <x:c r="H55" s="8" t="s">
        <x:v>214</x:v>
      </x:c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</x:row>
    <x:row r="56" spans="1:24">
      <x:c r="A56" t="s">
        <x:v>663</x:v>
      </x:c>
      <x:c r="B56" t="s">
        <x:v>26</x:v>
      </x:c>
      <x:c r="C56" s="6" t="str">
        <x:f>LEFT(H56,SEARCH("]",H56))</x:f>
        <x:v>[12세사04-02]</x:v>
      </x:c>
      <x:c r="D56" s="5" t="str">
        <x:f>MID(H56,SEARCH("]",H56)+1,200)</x:f>
        <x:v>냉전의 전개 양상에 따라 나타난 사회,문화의 변화를 분석한다.</x:v>
      </x:c>
      <x:c r="E56" s="3"/>
      <x:c r="F56" s="3"/>
      <x:c r="G56" s="3"/>
      <x:c r="H56" s="8" t="s">
        <x:v>215</x:v>
      </x:c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</x:row>
    <x:row r="57" spans="1:24">
      <x:c r="A57" t="s">
        <x:v>663</x:v>
      </x:c>
      <x:c r="B57" t="s">
        <x:v>26</x:v>
      </x:c>
      <x:c r="C57" s="6" t="str">
        <x:f>LEFT(H57,SEARCH("]",H57))</x:f>
        <x:v>[12세사04-03]</x:v>
      </x:c>
      <x:c r="D57" s="5" t="str">
        <x:f>MID(H57,SEARCH("]",H57)+1,200)</x:f>
        <x:v>현대 세계의 과제를 해결하기 위해 인류가 기울여온 노력을 탐구한다.</x:v>
      </x:c>
      <x:c r="E57" s="3"/>
      <x:c r="F57" s="3"/>
      <x:c r="G57" s="3"/>
      <x:c r="H57" s="8" t="s">
        <x:v>401</x:v>
      </x:c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</x:row>
    <x:row r="58" spans="1:24" ht="32.75">
      <x:c r="A58" t="s">
        <x:v>663</x:v>
      </x:c>
      <x:c r="B58" t="s">
        <x:v>200</x:v>
      </x:c>
      <x:c r="C58" s="6" t="str">
        <x:f>LEFT(H58,SEARCH("]",H58))</x:f>
        <x:v>[12사문01-01]</x:v>
      </x:c>
      <x:c r="D58" s="5" t="str">
        <x:f>MID(H58,SEARCH("]",H58)+1,200)</x:f>
        <x:v>사회현상의 탐구를 위해 사회현상의 특징에 대한 이해와 사회학적 상상력이 필요함을 인식하고,사회현상에 대한 다양한 관점을 비교한다.</x:v>
      </x:c>
      <x:c r="E58" s="3"/>
      <x:c r="F58" s="3"/>
      <x:c r="G58" s="3"/>
      <x:c r="H58" s="9" t="s">
        <x:v>1</x:v>
      </x:c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3"/>
      <x:c r="V58" s="3"/>
      <x:c r="W58" s="3"/>
      <x:c r="X58" s="3"/>
    </x:row>
    <x:row r="59" spans="1:24" ht="32.75">
      <x:c r="A59" t="s">
        <x:v>663</x:v>
      </x:c>
      <x:c r="B59" t="s">
        <x:v>200</x:v>
      </x:c>
      <x:c r="C59" s="6" t="str">
        <x:f>LEFT(H59,SEARCH("]",H59))</x:f>
        <x:v>[12사문01-02]</x:v>
      </x:c>
      <x:c r="D59" s="5" t="str">
        <x:f>MID(H59,SEARCH("]",H59)+1,200)</x:f>
        <x:v>사회현상에 대한 양적 연구 방법과 질적 연구 방법의 특징 및 연구 절차를 비교하고,각 연구 방법을 활용한 연구 사례를 분석한다.</x:v>
      </x:c>
      <x:c r="E59" s="3"/>
      <x:c r="F59" s="3"/>
      <x:c r="G59" s="3"/>
      <x:c r="H59" s="8" t="s">
        <x:v>0</x:v>
      </x:c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3"/>
      <x:c r="V59" s="3"/>
      <x:c r="W59" s="3"/>
      <x:c r="X59" s="3"/>
    </x:row>
    <x:row r="60" spans="1:24" ht="32.75">
      <x:c r="A60" t="s">
        <x:v>663</x:v>
      </x:c>
      <x:c r="B60" t="s">
        <x:v>200</x:v>
      </x:c>
      <x:c r="C60" s="6" t="str">
        <x:f>LEFT(H60,SEARCH("]",H60))</x:f>
        <x:v>[12사문01-03]</x:v>
      </x:c>
      <x:c r="D60" s="5" t="str">
        <x:f>MID(H60,SEARCH("]",H60)+1,200)</x:f>
        <x:v>사회현상에 대한 다양한 자료 수집 방법의 특징을 비교하고,각 자료 수집 방법을 활용한 연구 사례를 분석한다.</x:v>
      </x:c>
      <x:c r="E60" s="3"/>
      <x:c r="F60" s="3"/>
      <x:c r="G60" s="3"/>
      <x:c r="H60" s="8" t="s">
        <x:v>462</x:v>
      </x:c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3"/>
      <x:c r="V60" s="3"/>
      <x:c r="W60" s="3"/>
      <x:c r="X60" s="3"/>
    </x:row>
    <x:row r="61" spans="1:24" ht="32.75">
      <x:c r="A61" t="s">
        <x:v>663</x:v>
      </x:c>
      <x:c r="B61" t="s">
        <x:v>200</x:v>
      </x:c>
      <x:c r="C61" s="6" t="str">
        <x:f>LEFT(H61,SEARCH("]",H61))</x:f>
        <x:v>[12사문01-04]</x:v>
      </x:c>
      <x:c r="D61" s="5" t="str">
        <x:f>MID(H61,SEARCH("]",H61)+1,200)</x:f>
        <x:v>사회현상의 탐구에서 발생하는 연구자의 가치 개입 및 연구 윤리 관련 쟁점을 토론하고,연구 윤리를 준수하며 사회현상에 대한 탐구를 수행한다.</x:v>
      </x:c>
      <x:c r="E61" s="3"/>
      <x:c r="F61" s="3"/>
      <x:c r="G61" s="3"/>
      <x:c r="H61" s="9" t="s">
        <x:v>335</x:v>
      </x:c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3"/>
      <x:c r="V61" s="3"/>
      <x:c r="W61" s="3"/>
      <x:c r="X61" s="3"/>
    </x:row>
    <x:row r="62" spans="1:24" ht="32.75">
      <x:c r="A62" t="s">
        <x:v>663</x:v>
      </x:c>
      <x:c r="B62" t="s">
        <x:v>200</x:v>
      </x:c>
      <x:c r="C62" s="6" t="str">
        <x:f>LEFT(H62,SEARCH("]",H62))</x:f>
        <x:v>[12사문02-01]</x:v>
      </x:c>
      <x:c r="D62" s="5" t="str">
        <x:f>MID(H62,SEARCH("]",H62)+1,200)</x:f>
        <x:v>사회 구조와 개인의 관계에 대한 이해를 바탕으로 개인의 사회화 과정,사회화 기관 및 유형을 설명하고,사회화에 대한 서로 다른 이론적 관점을 비교한다.</x:v>
      </x:c>
      <x:c r="E62" s="3"/>
      <x:c r="F62" s="3"/>
      <x:c r="G62" s="3"/>
      <x:c r="H62" s="9" t="s">
        <x:v>96</x:v>
      </x:c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3"/>
      <x:c r="V62" s="3"/>
      <x:c r="W62" s="3"/>
      <x:c r="X62" s="3"/>
    </x:row>
    <x:row r="63" spans="1:24" ht="32.75">
      <x:c r="A63" t="s">
        <x:v>663</x:v>
      </x:c>
      <x:c r="B63" t="s">
        <x:v>200</x:v>
      </x:c>
      <x:c r="C63" s="6" t="str">
        <x:f>LEFT(H63,SEARCH("]",H63))</x:f>
        <x:v>[12사문02-02]</x:v>
      </x:c>
      <x:c r="D63" s="5" t="str">
        <x:f>MID(H63,SEARCH("]",H63)+1,200)</x:f>
        <x:v>사회 집단 및 사회 조직의 유형과 변화 양상에 대한 이해를 바탕으로 사회 집단 및 사회 조직이 개인의 사회생활과 사회적 관계에 미치는 영향을 설명한다.</x:v>
      </x:c>
      <x:c r="E63" s="3"/>
      <x:c r="F63" s="3"/>
      <x:c r="G63" s="3"/>
      <x:c r="H63" s="9" t="s">
        <x:v>97</x:v>
      </x:c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3"/>
      <x:c r="V63" s="3"/>
      <x:c r="W63" s="3"/>
      <x:c r="X63" s="3"/>
    </x:row>
    <x:row r="64" spans="1:24" ht="32.75">
      <x:c r="A64" t="s">
        <x:v>663</x:v>
      </x:c>
      <x:c r="B64" t="s">
        <x:v>200</x:v>
      </x:c>
      <x:c r="C64" s="6" t="str">
        <x:f>LEFT(H64,SEARCH("]",H64))</x:f>
        <x:v>[12사문02-03]</x:v>
      </x:c>
      <x:c r="D64" s="5" t="str">
        <x:f>MID(H64,SEARCH("]",H64)+1,200)</x:f>
        <x:v>일탈 행동의 발생 요인이나 특성을 설명하는 다양한 일탈 이론을 비교하고,일탈 행동에 대한 사회 통제의 유형과 사회 통제의 필요성 및 문제점을 분석한다.</x:v>
      </x:c>
      <x:c r="E64" s="3"/>
      <x:c r="F64" s="3"/>
      <x:c r="G64" s="3"/>
      <x:c r="H64" s="9" t="s">
        <x:v>94</x:v>
      </x:c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3"/>
      <x:c r="V64" s="3"/>
      <x:c r="W64" s="3"/>
      <x:c r="X64" s="3"/>
    </x:row>
    <x:row r="65" spans="1:24" ht="32.75">
      <x:c r="A65" t="s">
        <x:v>663</x:v>
      </x:c>
      <x:c r="B65" t="s">
        <x:v>200</x:v>
      </x:c>
      <x:c r="C65" s="6" t="str">
        <x:f>LEFT(H65,SEARCH("]",H65))</x:f>
        <x:v>[12사문02-04]</x:v>
      </x:c>
      <x:c r="D65" s="5" t="str">
        <x:f>MID(H65,SEARCH("]",H65)+1,200)</x:f>
        <x:v>사회 변동이 다양한 요인의 복합적인 상호 작용의 산물이라는 점을 설명하고,현대사회의 변동 과정에서 나타나는 다양한 사회 운동의 유형과 특징을 탐구한다.</x:v>
      </x:c>
      <x:c r="E65" s="3"/>
      <x:c r="F65" s="3"/>
      <x:c r="G65" s="3"/>
      <x:c r="H65" s="9" t="s">
        <x:v>98</x:v>
      </x:c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3"/>
      <x:c r="V65" s="3"/>
      <x:c r="W65" s="3"/>
      <x:c r="X65" s="3"/>
    </x:row>
    <x:row r="66" spans="1:24" ht="32.75">
      <x:c r="A66" t="s">
        <x:v>663</x:v>
      </x:c>
      <x:c r="B66" t="s">
        <x:v>200</x:v>
      </x:c>
      <x:c r="C66" s="6" t="str">
        <x:f>LEFT(H66,SEARCH("]",H66))</x:f>
        <x:v>[12사문03-01]</x:v>
      </x:c>
      <x:c r="D66" s="5" t="str">
        <x:f>MID(H66,SEARCH("]",H66)+1,200)</x:f>
        <x:v>대중문화에 대한 다양한 관점을 비교하고,일상적으로 접하는 사례를 중심으로 대중문화가 개인과 사회에 미치는 영향을 토의한다.</x:v>
      </x:c>
      <x:c r="E66" s="3"/>
      <x:c r="F66" s="3"/>
      <x:c r="G66" s="3"/>
      <x:c r="H66" s="8" t="s">
        <x:v>368</x:v>
      </x:c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3"/>
      <x:c r="V66" s="3"/>
      <x:c r="W66" s="3"/>
      <x:c r="X66" s="3"/>
    </x:row>
    <x:row r="67" spans="1:24" ht="32.75">
      <x:c r="A67" t="s">
        <x:v>663</x:v>
      </x:c>
      <x:c r="B67" t="s">
        <x:v>200</x:v>
      </x:c>
      <x:c r="C67" s="6" t="str">
        <x:f>LEFT(H67,SEARCH("]",H67))</x:f>
        <x:v>[12사문03-02]</x:v>
      </x:c>
      <x:c r="D67" s="5" t="str">
        <x:f>MID(H67,SEARCH("]",H67)+1,200)</x:f>
        <x:v>미디어의 효과에 대한 이해를 바탕으로 미디어가 생산하는 메시지를 비판적으로 분석하고 대안적 메시지 생산에 능동적으로 참여한다.</x:v>
      </x:c>
      <x:c r="E67" s="3"/>
      <x:c r="F67" s="3"/>
      <x:c r="G67" s="3"/>
      <x:c r="H67" s="8" t="s">
        <x:v>185</x:v>
      </x:c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3"/>
      <x:c r="V67" s="3"/>
      <x:c r="W67" s="3"/>
      <x:c r="X67" s="3"/>
    </x:row>
    <x:row r="68" spans="1:24" ht="49.14999999999999857891">
      <x:c r="A68" t="s">
        <x:v>663</x:v>
      </x:c>
      <x:c r="B68" t="s">
        <x:v>200</x:v>
      </x:c>
      <x:c r="C68" s="6" t="str">
        <x:f>LEFT(H68,SEARCH("]",H68))</x:f>
        <x:v>[12사문03-03]</x:v>
      </x:c>
      <x:c r="D68" s="5" t="str">
        <x:f>MID(H68,SEARCH("]",H68)+1,200)</x:f>
        <x:v>하위문화와 주류 문화의 관계에 대한 이해를 바탕으로 다문화 사회의 이주민 문화에대한 서로 다른 관점을 비교하고,이주민 문화가 갖는 의의에 기초하여 문화 다양성을 증진하기 위한 방안을 제시한다.</x:v>
      </x:c>
      <x:c r="E68" s="3"/>
      <x:c r="F68" s="3"/>
      <x:c r="G68" s="3"/>
      <x:c r="H68" s="9" t="s">
        <x:v>394</x:v>
      </x:c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3"/>
      <x:c r="V68" s="3"/>
      <x:c r="W68" s="3"/>
      <x:c r="X68" s="3"/>
    </x:row>
    <x:row r="69" spans="1:24" ht="32.75">
      <x:c r="A69" t="s">
        <x:v>663</x:v>
      </x:c>
      <x:c r="B69" t="s">
        <x:v>200</x:v>
      </x:c>
      <x:c r="C69" s="6" t="str">
        <x:f>LEFT(H69,SEARCH("]",H69))</x:f>
        <x:v>[12사문03-04]</x:v>
      </x:c>
      <x:c r="D69" s="5" t="str">
        <x:f>MID(H69,SEARCH("]",H69)+1,200)</x:f>
        <x:v>문화 변동의 다양한 요인과 양상,문화 변동 과정에서 발생하는 문제점을 이해하고,문화의 세계화로 인해 나타나는 쟁점에 대해 탐구한다.</x:v>
      </x:c>
      <x:c r="E69" s="3"/>
      <x:c r="F69" s="3"/>
      <x:c r="G69" s="3"/>
      <x:c r="H69" s="8" t="s">
        <x:v>484</x:v>
      </x:c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3"/>
      <x:c r="V69" s="3"/>
      <x:c r="W69" s="3"/>
      <x:c r="X69" s="3"/>
    </x:row>
    <x:row r="70" spans="1:24" ht="32.75">
      <x:c r="A70" t="s">
        <x:v>663</x:v>
      </x:c>
      <x:c r="B70" t="s">
        <x:v>200</x:v>
      </x:c>
      <x:c r="C70" s="6" t="str">
        <x:f>LEFT(H70,SEARCH("]",H70))</x:f>
        <x:v>[12사문04-01]</x:v>
      </x:c>
      <x:c r="D70" s="5" t="str">
        <x:f>MID(H70,SEARCH("]",H70)+1,200)</x:f>
        <x:v>사회 불평등 현상을 이해하는 서로 다른 관점을 비교하고,사회 이동과 사회 계층 구조의 유형 및 특징을 분석한다.</x:v>
      </x:c>
      <x:c r="E70" s="3"/>
      <x:c r="F70" s="3"/>
      <x:c r="G70" s="3"/>
      <x:c r="H70" s="8" t="s">
        <x:v>294</x:v>
      </x:c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3"/>
      <x:c r="V70" s="3"/>
      <x:c r="W70" s="3"/>
      <x:c r="X70" s="3"/>
    </x:row>
    <x:row r="71" spans="1:24" ht="32.75">
      <x:c r="A71" t="s">
        <x:v>663</x:v>
      </x:c>
      <x:c r="B71" t="s">
        <x:v>200</x:v>
      </x:c>
      <x:c r="C71" s="6" t="str">
        <x:f>LEFT(H71,SEARCH("]",H71))</x:f>
        <x:v>[12사문04-02]</x:v>
      </x:c>
      <x:c r="D71" s="5" t="str">
        <x:f>MID(H71,SEARCH("]",H71)+1,200)</x:f>
        <x:v>현대 사회에서 나타나는 다양한 사회 불평등 양상을 분석하고,차별받는 사람들의 입장에 대한 공감을 바탕으로 다양한 불평등 현상에 대한 해결 방안을 모색한다.</x:v>
      </x:c>
      <x:c r="E71" s="3"/>
      <x:c r="F71" s="3"/>
      <x:c r="G71" s="3"/>
      <x:c r="H71" s="9" t="s">
        <x:v>384</x:v>
      </x:c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3"/>
      <x:c r="V71" s="3"/>
      <x:c r="W71" s="3"/>
      <x:c r="X71" s="3"/>
    </x:row>
    <x:row r="72" spans="1:24" ht="32.75">
      <x:c r="A72" t="s">
        <x:v>663</x:v>
      </x:c>
      <x:c r="B72" t="s">
        <x:v>200</x:v>
      </x:c>
      <x:c r="C72" s="6" t="str">
        <x:f>LEFT(H72,SEARCH("]",H72))</x:f>
        <x:v>[12사문04-03]</x:v>
      </x:c>
      <x:c r="D72" s="5" t="str">
        <x:f>MID(H72,SEARCH("]",H72)+1,200)</x:f>
        <x:v>복지 국가의 발전 과정에 대한 이해를 바탕으로 사회 복지 제도의 유형과 특징을 비교하고,현대 사회에서 나타나고 있는 사회 복지를 둘러싼 쟁점을 토론한다.</x:v>
      </x:c>
      <x:c r="E72" s="3"/>
      <x:c r="F72" s="3"/>
      <x:c r="G72" s="3"/>
      <x:c r="H72" s="9" t="s">
        <x:v>387</x:v>
      </x:c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3"/>
      <x:c r="V72" s="3"/>
      <x:c r="W72" s="3"/>
      <x:c r="X72" s="3"/>
    </x:row>
    <x:row r="73" spans="1:24" ht="32.75">
      <x:c r="A73" t="s">
        <x:v>663</x:v>
      </x:c>
      <x:c r="B73" t="s">
        <x:v>586</x:v>
      </x:c>
      <x:c r="C73" s="6" t="str">
        <x:f>LEFT(H73,SEARCH("]",H73))</x:f>
        <x:v>[12한탐01-01]</x:v>
      </x:c>
      <x:c r="D73" s="5" t="str">
        <x:f>MID(H73,SEARCH("]",H73)+1,200)</x:f>
        <x:v>다양한 현상에 대해 지리적 관점으로 질문을 던지고,질문에 답을 하기 위한 탐구 계획을 수립한다.</x:v>
      </x:c>
      <x:c r="E73" s="3"/>
      <x:c r="F73" s="3"/>
      <x:c r="G73" s="3"/>
      <x:c r="H73" s="8" t="s">
        <x:v>243</x:v>
      </x:c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</x:row>
    <x:row r="74" spans="1:24" ht="32.75">
      <x:c r="A74" t="s">
        <x:v>663</x:v>
      </x:c>
      <x:c r="B74" t="s">
        <x:v>586</x:v>
      </x:c>
      <x:c r="C74" s="6" t="str">
        <x:f>LEFT(H74,SEARCH("]",H74))</x:f>
        <x:v>[12한탐01-02]</x:v>
      </x:c>
      <x:c r="D74" s="5" t="str">
        <x:f>MID(H74,SEARCH("]",H74)+1,200)</x:f>
        <x:v>야외조사 및 지리정보기술을 활용한 데이터 수집방법을 연습하고,탐구 질문에 맞춰 데이터를 수집,분석,시각화한다.</x:v>
      </x:c>
      <x:c r="E74" s="3"/>
      <x:c r="F74" s="3"/>
      <x:c r="G74" s="3"/>
      <x:c r="H74" s="8" t="s">
        <x:v>301</x:v>
      </x:c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</x:row>
    <x:row r="75" spans="1:24" ht="32.75">
      <x:c r="A75" t="s">
        <x:v>663</x:v>
      </x:c>
      <x:c r="B75" t="s">
        <x:v>586</x:v>
      </x:c>
      <x:c r="C75" s="6" t="str">
        <x:f>LEFT(H75,SEARCH("]",H75))</x:f>
        <x:v>[12한탐02-01]</x:v>
      </x:c>
      <x:c r="D75" s="5" t="str">
        <x:f>MID(H75,SEARCH("]",H75)+1,200)</x:f>
        <x:v>식품의 생산,유통,소비과정을 조사함으로써 음식을 통한 생산자와 소비자,상품,장소의 연결성을 이해하고,상품사슬을 조직하는 윤리적인 방식의 가능성과 한계를 파악한다.</x:v>
      </x:c>
      <x:c r="E75" s="3"/>
      <x:c r="F75" s="3"/>
      <x:c r="G75" s="3"/>
      <x:c r="H75" s="9" t="s">
        <x:v>646</x:v>
      </x:c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3"/>
      <x:c r="V75" s="3"/>
      <x:c r="W75" s="3"/>
      <x:c r="X75" s="3"/>
    </x:row>
    <x:row r="76" spans="1:24" ht="32.75">
      <x:c r="A76" t="s">
        <x:v>663</x:v>
      </x:c>
      <x:c r="B76" t="s">
        <x:v>586</x:v>
      </x:c>
      <x:c r="C76" s="6" t="str">
        <x:f>LEFT(H76,SEARCH("]",H76))</x:f>
        <x:v>[12한탐02-02]</x:v>
      </x:c>
      <x:c r="D76" s="5" t="str">
        <x:f>MID(H76,SEARCH("]",H76)+1,200)</x:f>
        <x:v>핫 플레이스의 특징,생성과정,정체성 이슈를 조사하고,지역 자원을 활용한 관광활성화 방안을 제안한다.</x:v>
      </x:c>
      <x:c r="E76" s="3"/>
      <x:c r="F76" s="3"/>
      <x:c r="G76" s="3"/>
      <x:c r="H76" s="8" t="s">
        <x:v>232</x:v>
      </x:c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3"/>
      <x:c r="V76" s="3"/>
      <x:c r="W76" s="3"/>
      <x:c r="X76" s="3"/>
    </x:row>
    <x:row r="77" spans="1:24" ht="32.75">
      <x:c r="A77" t="s">
        <x:v>663</x:v>
      </x:c>
      <x:c r="B77" t="s">
        <x:v>586</x:v>
      </x:c>
      <x:c r="C77" s="6" t="str">
        <x:f>LEFT(H77,SEARCH("]",H77))</x:f>
        <x:v>[12한탐02-03]</x:v>
      </x:c>
      <x:c r="D77" s="5" t="str">
        <x:f>MID(H77,SEARCH("]",H77)+1,200)</x:f>
        <x:v>모빌리티와 모바일,빅 데이터,플랫폼의 결합이 시⋅공간 활용에 미치는 영향을 설명하고,모빌리티 공유서비스가 일상생활에 미친 영향과 문제점을 조사해 대안을 제시한다.</x:v>
      </x:c>
      <x:c r="E77" s="3"/>
      <x:c r="F77" s="3"/>
      <x:c r="G77" s="3"/>
      <x:c r="H77" s="9" t="s">
        <x:v>645</x:v>
      </x:c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3"/>
      <x:c r="V77" s="3"/>
      <x:c r="W77" s="3"/>
      <x:c r="X77" s="3"/>
    </x:row>
    <x:row r="78" spans="1:24" ht="32.75">
      <x:c r="A78" t="s">
        <x:v>663</x:v>
      </x:c>
      <x:c r="B78" t="s">
        <x:v>586</x:v>
      </x:c>
      <x:c r="C78" s="6" t="str">
        <x:f>LEFT(H78,SEARCH("]",H78))</x:f>
        <x:v>[12한탐03-01]</x:v>
      </x:c>
      <x:c r="D78" s="5" t="str">
        <x:f>MID(H78,SEARCH("]",H78)+1,200)</x:f>
        <x:v>통계 자료를 활용해 우리나라 인구 및 가구구조의 변화를 시각화 및 분석하고,저출생,고령화,다문화 가구의 증가에 대응하기 위한 방안을 모색한다.</x:v>
      </x:c>
      <x:c r="E78" s="3"/>
      <x:c r="F78" s="3"/>
      <x:c r="G78" s="3"/>
      <x:c r="H78" s="9" t="s">
        <x:v>328</x:v>
      </x:c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3"/>
      <x:c r="V78" s="3"/>
      <x:c r="W78" s="3"/>
      <x:c r="X78" s="3"/>
    </x:row>
    <x:row r="79" spans="1:24" ht="32.75">
      <x:c r="A79" t="s">
        <x:v>663</x:v>
      </x:c>
      <x:c r="B79" t="s">
        <x:v>586</x:v>
      </x:c>
      <x:c r="C79" s="6" t="str">
        <x:f>LEFT(H79,SEARCH("]",H79))</x:f>
        <x:v>[12한탐03-02]</x:v>
      </x:c>
      <x:c r="D79" s="5" t="str">
        <x:f>MID(H79,SEARCH("]",H79)+1,200)</x:f>
        <x:v>식생활 변화 및 세계화에 따른 우리나라 농업의 변화를 이해하고,지속가능한 농업과 농촌을 위한 정책을 제안한다.</x:v>
      </x:c>
      <x:c r="E79" s="3"/>
      <x:c r="F79" s="3"/>
      <x:c r="G79" s="3"/>
      <x:c r="H79" s="8" t="s">
        <x:v>298</x:v>
      </x:c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3"/>
      <x:c r="V79" s="3"/>
      <x:c r="W79" s="3"/>
      <x:c r="X79" s="3"/>
    </x:row>
    <x:row r="80" spans="1:24" ht="32.75">
      <x:c r="A80" t="s">
        <x:v>663</x:v>
      </x:c>
      <x:c r="B80" t="s">
        <x:v>586</x:v>
      </x:c>
      <x:c r="C80" s="6" t="str">
        <x:f>LEFT(H80,SEARCH("]",H80))</x:f>
        <x:v>[12한탐03-03]</x:v>
      </x:c>
      <x:c r="D80" s="5" t="str">
        <x:f>MID(H80,SEARCH("]",H80)+1,200)</x:f>
        <x:v>산업구조의 전환이 지역 경제에 미치는 영향을 이해하고,이를 바탕으로 최근 급속하게성장한 지역과 위기의 징후가 나타나는 지역의 성격과 특징을 비교한다.</x:v>
      </x:c>
      <x:c r="E80" s="3"/>
      <x:c r="F80" s="3"/>
      <x:c r="G80" s="3"/>
      <x:c r="H80" s="9" t="s">
        <x:v>93</x:v>
      </x:c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3"/>
      <x:c r="V80" s="3"/>
      <x:c r="W80" s="3"/>
      <x:c r="X80" s="3"/>
    </x:row>
    <x:row r="81" spans="1:24" ht="32.75">
      <x:c r="A81" t="s">
        <x:v>663</x:v>
      </x:c>
      <x:c r="B81" t="s">
        <x:v>586</x:v>
      </x:c>
      <x:c r="C81" s="6" t="str">
        <x:f>LEFT(H81,SEARCH("]",H81))</x:f>
        <x:v>[12한탐03-04]</x:v>
      </x:c>
      <x:c r="D81" s="5" t="str">
        <x:f>MID(H81,SEARCH("]",H81)+1,200)</x:f>
        <x:v>수도권 집중에 따른 지방소멸과 국토 불균등 발전 문제에 대한 인식을 바탕으로 국가 및 지역 수준의 국토균형발전 방안을 제안하고 실현 가능성을 평가한다.</x:v>
      </x:c>
      <x:c r="E81" s="3"/>
      <x:c r="F81" s="3"/>
      <x:c r="G81" s="3"/>
      <x:c r="H81" s="9" t="s">
        <x:v>99</x:v>
      </x:c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3"/>
      <x:c r="V81" s="3"/>
      <x:c r="W81" s="3"/>
      <x:c r="X81" s="3"/>
    </x:row>
    <x:row r="82" spans="1:24" ht="32.75">
      <x:c r="A82" t="s">
        <x:v>663</x:v>
      </x:c>
      <x:c r="B82" t="s">
        <x:v>586</x:v>
      </x:c>
      <x:c r="C82" s="6" t="str">
        <x:f>LEFT(H82,SEARCH("]",H82))</x:f>
        <x:v>[12한탐04-01]</x:v>
      </x:c>
      <x:c r="D82" s="5" t="str">
        <x:f>MID(H82,SEARCH("]",H82)+1,200)</x:f>
        <x:v>세계유산으로 등재된 한반도 자연경관의 가치를 탁월성과 보편성의 측면에서 설명하고,이를 토대로 등재 가능한 자연경관을 추천한다.</x:v>
      </x:c>
      <x:c r="E82" s="3"/>
      <x:c r="F82" s="3"/>
      <x:c r="G82" s="3"/>
      <x:c r="H82" s="8" t="s">
        <x:v>641</x:v>
      </x:c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3"/>
      <x:c r="V82" s="3"/>
      <x:c r="W82" s="3"/>
      <x:c r="X82" s="3"/>
    </x:row>
    <x:row r="83" spans="1:24" ht="32.75">
      <x:c r="A83" t="s">
        <x:v>663</x:v>
      </x:c>
      <x:c r="B83" t="s">
        <x:v>586</x:v>
      </x:c>
      <x:c r="C83" s="6" t="str">
        <x:f>LEFT(H83,SEARCH("]",H83))</x:f>
        <x:v>[12한탐04-02]</x:v>
      </x:c>
      <x:c r="D83" s="5" t="str">
        <x:f>MID(H83,SEARCH("]",H83)+1,200)</x:f>
        <x:v>도시화,농업,관광지 개발로 인한 산지,하천,해안지역의 변화를 조사하고,환경과 개발에 대한 관점이 자연환경의 복원 및 지속가능한 활용에 미치는 영향을 파악한다.</x:v>
      </x:c>
      <x:c r="E83" s="3"/>
      <x:c r="F83" s="3"/>
      <x:c r="G83" s="3"/>
      <x:c r="H83" s="9" t="s">
        <x:v>390</x:v>
      </x:c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3"/>
      <x:c r="V83" s="3"/>
      <x:c r="W83" s="3"/>
      <x:c r="X83" s="3"/>
    </x:row>
    <x:row r="84" spans="1:24" ht="32.75">
      <x:c r="A84" t="s">
        <x:v>663</x:v>
      </x:c>
      <x:c r="B84" t="s">
        <x:v>586</x:v>
      </x:c>
      <x:c r="C84" s="6" t="str">
        <x:f>LEFT(H84,SEARCH("]",H84))</x:f>
        <x:v>[12한탐04-03]</x:v>
      </x:c>
      <x:c r="D84" s="5" t="str">
        <x:f>MID(H84,SEARCH("]",H84)+1,200)</x:f>
        <x:v>우리나라 및 우리 지역에서 주로 발생하는 자연재해의 유형과 특징을 분석하고,이를 토대로 자연재해의 경감 대책을 조사하고 평가한다.</x:v>
      </x:c>
      <x:c r="E84" s="3"/>
      <x:c r="F84" s="3"/>
      <x:c r="G84" s="3"/>
      <x:c r="H84" s="8" t="s">
        <x:v>644</x:v>
      </x:c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3"/>
      <x:c r="V84" s="3"/>
      <x:c r="W84" s="3"/>
      <x:c r="X84" s="3"/>
    </x:row>
    <x:row r="85" spans="1:24" ht="32.75">
      <x:c r="A85" t="s">
        <x:v>663</x:v>
      </x:c>
      <x:c r="B85" t="s">
        <x:v>586</x:v>
      </x:c>
      <x:c r="C85" s="6" t="str">
        <x:f>LEFT(H85,SEARCH("]",H85))</x:f>
        <x:v>[12한탐04-04]</x:v>
      </x:c>
      <x:c r="D85" s="5" t="str">
        <x:f>MID(H85,SEARCH("]",H85)+1,200)</x:f>
        <x:v>우리나라의 에너지원별 발전에 관한 주요 쟁점을 조사하고,탄소중립 달성을 위한 에너지 정책을 제안한다.</x:v>
      </x:c>
      <x:c r="E85" s="3"/>
      <x:c r="F85" s="3"/>
      <x:c r="G85" s="3"/>
      <x:c r="H85" s="8" t="s">
        <x:v>265</x:v>
      </x:c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3"/>
      <x:c r="V85" s="3"/>
      <x:c r="W85" s="3"/>
      <x:c r="X85" s="3"/>
    </x:row>
    <x:row r="86" spans="1:24">
      <x:c r="A86" t="s">
        <x:v>663</x:v>
      </x:c>
      <x:c r="B86" t="s">
        <x:v>586</x:v>
      </x:c>
      <x:c r="C86" s="6" t="str">
        <x:f>LEFT(H86,SEARCH("]",H86))</x:f>
        <x:v>[12한탐05-01]</x:v>
      </x:c>
      <x:c r="D86" s="5" t="str">
        <x:f>MID(H86,SEARCH("]",H86)+1,200)</x:f>
        <x:v>북한의 지리적 특징과 당면과제에 대한 이해를 바탕으로 남북협력의 가능성을 모색한다.</x:v>
      </x:c>
      <x:c r="E86" s="3"/>
      <x:c r="F86" s="3"/>
      <x:c r="G86" s="3"/>
      <x:c r="H86" s="8" t="s">
        <x:v>76</x:v>
      </x:c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</x:row>
    <x:row r="87" spans="1:24" ht="32.75">
      <x:c r="A87" t="s">
        <x:v>663</x:v>
      </x:c>
      <x:c r="B87" t="s">
        <x:v>586</x:v>
      </x:c>
      <x:c r="C87" s="6" t="str">
        <x:f>LEFT(H87,SEARCH("]",H87))</x:f>
        <x:v>[12한탐05-02]</x:v>
      </x:c>
      <x:c r="D87" s="5" t="str">
        <x:f>MID(H87,SEARCH("]",H87)+1,200)</x:f>
        <x:v>한반도를 둘러싼 국가 간 경계와 접경지역을 분석하고,동아시아 지역의 발전과 평화⋅공존을 위한 지정학적 전략을 토론한다.</x:v>
      </x:c>
      <x:c r="E87" s="3"/>
      <x:c r="F87" s="3"/>
      <x:c r="G87" s="3"/>
      <x:c r="H87" s="8" t="s">
        <x:v>366</x:v>
      </x:c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</x:row>
    <x:row r="88" spans="1:24" ht="32.75">
      <x:c r="A88" t="s">
        <x:v>663</x:v>
      </x:c>
      <x:c r="B88" t="s">
        <x:v>129</x:v>
      </x:c>
      <x:c r="C88" s="6" t="str">
        <x:f>LEFT(H88,SEARCH("]",H88))</x:f>
        <x:v>[12도탐01-01]</x:v>
      </x:c>
      <x:c r="D88" s="5" t="str">
        <x:f>MID(H88,SEARCH("]",H88)+1,200)</x:f>
        <x:v>도시의 의미를 이해하고,도시의 특성이 도시적 생활양식에 미치는 영향을 일상 공간을사례로 탐구한다.</x:v>
      </x:c>
      <x:c r="E88" s="3"/>
      <x:c r="F88" s="3"/>
      <x:c r="G88" s="3"/>
      <x:c r="H88" s="8" t="s">
        <x:v>247</x:v>
      </x:c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3"/>
      <x:c r="V88" s="3"/>
      <x:c r="W88" s="3"/>
      <x:c r="X88" s="3"/>
    </x:row>
    <x:row r="89" spans="1:24" ht="32.75">
      <x:c r="A89" t="s">
        <x:v>663</x:v>
      </x:c>
      <x:c r="B89" t="s">
        <x:v>129</x:v>
      </x:c>
      <x:c r="C89" s="6" t="str">
        <x:f>LEFT(H89,SEARCH("]",H89))</x:f>
        <x:v>[12도탐01-02]</x:v>
      </x:c>
      <x:c r="D89" s="5" t="str">
        <x:f>MID(H89,SEARCH("]",H89)+1,200)</x:f>
        <x:v>도시의 발달과정에 대한 이해를 바탕으로 하여 다양한 유형의 도시를 비교하고,내가 사는 도시의 발달과정을 탐구한다.</x:v>
      </x:c>
      <x:c r="E89" s="3"/>
      <x:c r="F89" s="3"/>
      <x:c r="G89" s="3"/>
      <x:c r="H89" s="8" t="s">
        <x:v>292</x:v>
      </x:c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3"/>
      <x:c r="V89" s="3"/>
      <x:c r="W89" s="3"/>
      <x:c r="X89" s="3"/>
    </x:row>
    <x:row r="90" spans="1:24">
      <x:c r="A90" t="s">
        <x:v>663</x:v>
      </x:c>
      <x:c r="B90" t="s">
        <x:v>129</x:v>
      </x:c>
      <x:c r="C90" s="6" t="str">
        <x:f>LEFT(H90,SEARCH("]",H90))</x:f>
        <x:v>[12도탐01-03]</x:v>
      </x:c>
      <x:c r="D90" s="5" t="str">
        <x:f>MID(H90,SEARCH("]",H90)+1,200)</x:f>
        <x:v>살기 좋은 도시에 대한 다양한 관점을 비교하고,살기 좋은 도시의 사례와 특징을 조사한다.</x:v>
      </x:c>
      <x:c r="E90" s="3"/>
      <x:c r="F90" s="3"/>
      <x:c r="G90" s="3"/>
      <x:c r="H90" s="8" t="s">
        <x:v>565</x:v>
      </x:c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3"/>
      <x:c r="V90" s="3"/>
      <x:c r="W90" s="3"/>
      <x:c r="X90" s="3"/>
    </x:row>
    <x:row r="91" spans="1:24" ht="32.75">
      <x:c r="A91" t="s">
        <x:v>663</x:v>
      </x:c>
      <x:c r="B91" t="s">
        <x:v>129</x:v>
      </x:c>
      <x:c r="C91" s="6" t="str">
        <x:f>LEFT(H91,SEARCH("]",H91))</x:f>
        <x:v>[12도탐02-01]</x:v>
      </x:c>
      <x:c r="D91" s="5" t="str">
        <x:f>MID(H91,SEARCH("]",H91)+1,200)</x:f>
        <x:v>도시 간의 상호 작용과 교류에 의해 형성되는 도시 체계를 이해하고,도시 공간 구조는고정되지 않고 지속해서 재구성됨을 인식한다.</x:v>
      </x:c>
      <x:c r="E91" s="3"/>
      <x:c r="F91" s="3"/>
      <x:c r="G91" s="3"/>
      <x:c r="H91" s="8" t="s">
        <x:v>642</x:v>
      </x:c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3"/>
      <x:c r="V91" s="3"/>
      <x:c r="W91" s="3"/>
      <x:c r="X91" s="3"/>
    </x:row>
    <x:row r="92" spans="1:24" ht="32.75">
      <x:c r="A92" t="s">
        <x:v>663</x:v>
      </x:c>
      <x:c r="B92" t="s">
        <x:v>129</x:v>
      </x:c>
      <x:c r="C92" s="6" t="str">
        <x:f>LEFT(H92,SEARCH("]",H92))</x:f>
        <x:v>[12도탐02-02]</x:v>
      </x:c>
      <x:c r="D92" s="5" t="str">
        <x:f>MID(H92,SEARCH("]",H92)+1,200)</x:f>
        <x:v>문화 자산을 활용한 도시 브랜딩과 건축이 도시의 경관과 도시에 대한 인식 변화에미친 영향을 탐구한다.</x:v>
      </x:c>
      <x:c r="E92" s="3"/>
      <x:c r="F92" s="3"/>
      <x:c r="G92" s="3"/>
      <x:c r="H92" s="8" t="s">
        <x:v>244</x:v>
      </x:c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3"/>
      <x:c r="V92" s="3"/>
      <x:c r="W92" s="3"/>
      <x:c r="X92" s="3"/>
    </x:row>
    <x:row r="93" spans="1:24" ht="32.75">
      <x:c r="A93" t="s">
        <x:v>663</x:v>
      </x:c>
      <x:c r="B93" t="s">
        <x:v>129</x:v>
      </x:c>
      <x:c r="C93" s="6" t="str">
        <x:f>LEFT(H93,SEARCH("]",H93))</x:f>
        <x:v>[12도탐02-03]</x:v>
      </x:c>
      <x:c r="D93" s="5" t="str">
        <x:f>MID(H93,SEARCH("]",H93)+1,200)</x:f>
        <x:v>서비스업의 성장과 소비주의 심화가 도시 경제와 도시의 경관,생활양식 변화에 미친 영향을 분석한다.</x:v>
      </x:c>
      <x:c r="E93" s="3"/>
      <x:c r="F93" s="3"/>
      <x:c r="G93" s="3"/>
      <x:c r="H93" s="8" t="s">
        <x:v>246</x:v>
      </x:c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3"/>
      <x:c r="V93" s="3"/>
      <x:c r="W93" s="3"/>
      <x:c r="X93" s="3"/>
    </x:row>
    <x:row r="94" spans="1:24" ht="32.75">
      <x:c r="A94" t="s">
        <x:v>663</x:v>
      </x:c>
      <x:c r="B94" t="s">
        <x:v>129</x:v>
      </x:c>
      <x:c r="C94" s="6" t="str">
        <x:f>LEFT(H94,SEARCH("]",H94))</x:f>
        <x:v>[12도탐02-04]</x:v>
      </x:c>
      <x:c r="D94" s="5" t="str">
        <x:f>MID(H94,SEARCH("]",H94)+1,200)</x:f>
        <x:v>첨단 산업과 모빌리티의 발달이 도시의 성장과 쇠퇴에 미치는 영향을 조사하고,정보통신기술의 발달로 출현하고 있는 스마트 도시를 사례로 살고 싶은 도시의 미래 모습을 예측한다.</x:v>
      </x:c>
      <x:c r="E94" s="3"/>
      <x:c r="F94" s="3"/>
      <x:c r="G94" s="3"/>
      <x:c r="H94" s="9" t="s">
        <x:v>307</x:v>
      </x:c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3"/>
      <x:c r="V94" s="3"/>
      <x:c r="W94" s="3"/>
      <x:c r="X94" s="3"/>
    </x:row>
    <x:row r="95" spans="1:24" ht="32.75">
      <x:c r="A95" t="s">
        <x:v>663</x:v>
      </x:c>
      <x:c r="B95" t="s">
        <x:v>129</x:v>
      </x:c>
      <x:c r="C95" s="6" t="str">
        <x:f>LEFT(H95,SEARCH("]",H95))</x:f>
        <x:v>[12도탐03-01]</x:v>
      </x:c>
      <x:c r="D95" s="5" t="str">
        <x:f>MID(H95,SEARCH("]",H95)+1,200)</x:f>
        <x:v>도시의 환경 문제와 재난은 자연적 요인과 사회적 요인이 복합적으로 작용하여 발생하고있음을 사례를 통해 파악하고,이를 공간 정의의 관점에서 분석하여 해결 방안을탐색한다.</x:v>
      </x:c>
      <x:c r="E95" s="3"/>
      <x:c r="F95" s="3"/>
      <x:c r="G95" s="3"/>
      <x:c r="H95" s="9" t="s">
        <x:v>304</x:v>
      </x:c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3"/>
      <x:c r="V95" s="3"/>
      <x:c r="W95" s="3"/>
      <x:c r="X95" s="3"/>
    </x:row>
    <x:row r="96" spans="1:24" ht="32.75">
      <x:c r="A96" t="s">
        <x:v>663</x:v>
      </x:c>
      <x:c r="B96" t="s">
        <x:v>129</x:v>
      </x:c>
      <x:c r="C96" s="6" t="str">
        <x:f>LEFT(H96,SEARCH("]",H96))</x:f>
        <x:v>[12도탐03-02]</x:v>
      </x:c>
      <x:c r="D96" s="5" t="str">
        <x:f>MID(H96,SEARCH("]",H96)+1,200)</x:f>
        <x:v>부동산에 대한 인식 변화와 도시의 주거 문제 심화 사례를 조사하고,이를 공간 정의의관점에서 분석하여 해결 방안을 탐색한다.</x:v>
      </x:c>
      <x:c r="E96" s="3"/>
      <x:c r="F96" s="3"/>
      <x:c r="G96" s="3"/>
      <x:c r="H96" s="8" t="s">
        <x:v>360</x:v>
      </x:c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3"/>
      <x:c r="V96" s="3"/>
      <x:c r="W96" s="3"/>
      <x:c r="X96" s="3"/>
    </x:row>
    <x:row r="97" spans="1:24" ht="32.75">
      <x:c r="A97" t="s">
        <x:v>663</x:v>
      </x:c>
      <x:c r="B97" t="s">
        <x:v>129</x:v>
      </x:c>
      <x:c r="C97" s="6" t="str">
        <x:f>LEFT(H97,SEARCH("]",H97))</x:f>
        <x:v>[12도탐03-03]</x:v>
      </x:c>
      <x:c r="D97" s="5" t="str">
        <x:f>MID(H97,SEARCH("]",H97)+1,200)</x:f>
        <x:v>국제 이주에 따라 도시의 인구 구성과 공간 구조가 변화하여 발생하는 문제를 조사하고,도시 구성원들의 다양성과 차이를 존중하고 공존하는 방안을 모색한다.</x:v>
      </x:c>
      <x:c r="E97" s="3"/>
      <x:c r="F97" s="3"/>
      <x:c r="G97" s="3"/>
      <x:c r="H97" s="9" t="s">
        <x:v>106</x:v>
      </x:c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3"/>
      <x:c r="V97" s="3"/>
      <x:c r="W97" s="3"/>
      <x:c r="X97" s="3"/>
    </x:row>
    <x:row r="98" spans="1:24" ht="32.75">
      <x:c r="A98" t="s">
        <x:v>663</x:v>
      </x:c>
      <x:c r="B98" t="s">
        <x:v>129</x:v>
      </x:c>
      <x:c r="C98" s="6" t="str">
        <x:f>LEFT(H98,SEARCH("]",H98))</x:f>
        <x:v>[12도탐04-01]</x:v>
      </x:c>
      <x:c r="D98" s="5" t="str">
        <x:f>MID(H98,SEARCH("]",H98)+1,200)</x:f>
        <x:v>지속가능성과 회복력이 높은 도시가 되기 위한 요건에 대해 토의하고 이와 관련한 도시계획 및 도시 혁신 사례를 탐구한다.</x:v>
      </x:c>
      <x:c r="E98" s="3"/>
      <x:c r="F98" s="3"/>
      <x:c r="G98" s="3"/>
      <x:c r="H98" s="8" t="s">
        <x:v>357</x:v>
      </x:c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3"/>
      <x:c r="V98" s="3"/>
      <x:c r="W98" s="3"/>
      <x:c r="X98" s="3"/>
    </x:row>
    <x:row r="99" spans="1:24" ht="32.75">
      <x:c r="A99" t="s">
        <x:v>663</x:v>
      </x:c>
      <x:c r="B99" t="s">
        <x:v>129</x:v>
      </x:c>
      <x:c r="C99" s="6" t="str">
        <x:f>LEFT(H99,SEARCH("]",H99))</x:f>
        <x:v>[12도탐04-02]</x:v>
      </x:c>
      <x:c r="D99" s="5" t="str">
        <x:f>MID(H99,SEARCH("]",H99)+1,200)</x:f>
        <x:v>도시의 공공성을 높이기 위한 도시 정치의 중요성을 이해하고,도시를 만들어가는 주체로서 시민이 가져야 할 바람직한 태도를 함양하여 도시 정치에 적극적으로 참여한다.</x:v>
      </x:c>
      <x:c r="E99" s="3"/>
      <x:c r="F99" s="3"/>
      <x:c r="G99" s="3"/>
      <x:c r="H99" s="9" t="s">
        <x:v>629</x:v>
      </x:c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3"/>
      <x:c r="V99" s="3"/>
      <x:c r="W99" s="3"/>
      <x:c r="X99" s="3"/>
    </x:row>
    <x:row r="100" spans="1:24">
      <x:c r="A100" t="s">
        <x:v>663</x:v>
      </x:c>
      <x:c r="B100" t="s">
        <x:v>571</x:v>
      </x:c>
      <x:c r="C100" s="6" t="str">
        <x:f>LEFT(H100,SEARCH("]",H100))</x:f>
        <x:v>[12동역01-01]</x:v>
      </x:c>
      <x:c r="D100" s="5" t="str">
        <x:f>MID(H100,SEARCH("]",H100)+1,200)</x:f>
        <x:v>역사 기행을 통한 탐구의 방법을 이해하고,동아시아의 범위와 특징을 파악한다.</x:v>
      </x:c>
      <x:c r="E100" s="3"/>
      <x:c r="F100" s="3"/>
      <x:c r="G100" s="3"/>
      <x:c r="H100" s="8" t="s">
        <x:v>618</x:v>
      </x:c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</x:row>
    <x:row r="101" spans="1:24">
      <x:c r="A101" t="s">
        <x:v>663</x:v>
      </x:c>
      <x:c r="B101" t="s">
        <x:v>571</x:v>
      </x:c>
      <x:c r="C101" s="6" t="str">
        <x:f>LEFT(H101,SEARCH("]",H101))</x:f>
        <x:v>[12동역01-02]</x:v>
      </x:c>
      <x:c r="D101" s="5" t="str">
        <x:f>MID(H101,SEARCH("]",H101)+1,200)</x:f>
        <x:v>생태환경을 바탕으로 형성된 유목 세계,농경 세계,해양 세계의 삶을 이해한다.</x:v>
      </x:c>
      <x:c r="E101" s="3"/>
      <x:c r="F101" s="3"/>
      <x:c r="G101" s="3"/>
      <x:c r="H101" s="8" t="s">
        <x:v>616</x:v>
      </x:c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</x:row>
    <x:row r="102" spans="1:24">
      <x:c r="A102" t="s">
        <x:v>663</x:v>
      </x:c>
      <x:c r="B102" t="s">
        <x:v>571</x:v>
      </x:c>
      <x:c r="C102" s="6" t="str">
        <x:f>LEFT(H102,SEARCH("]",H102))</x:f>
        <x:v>[12동역02-01]</x:v>
      </x:c>
      <x:c r="D102" s="5" t="str">
        <x:f>MID(H102,SEARCH("]",H102)+1,200)</x:f>
        <x:v>동아시아의 지역 간 교류를 보여주는 문화유산을 탐구한다.</x:v>
      </x:c>
      <x:c r="E102" s="3"/>
      <x:c r="F102" s="3"/>
      <x:c r="G102" s="3"/>
      <x:c r="H102" s="8" t="s">
        <x:v>490</x:v>
      </x:c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</x:row>
    <x:row r="103" spans="1:24">
      <x:c r="A103" t="s">
        <x:v>663</x:v>
      </x:c>
      <x:c r="B103" t="s">
        <x:v>571</x:v>
      </x:c>
      <x:c r="C103" s="6" t="str">
        <x:f>LEFT(H103,SEARCH("]",H103))</x:f>
        <x:v>[12동역02-02]</x:v>
      </x:c>
      <x:c r="D103" s="5" t="str">
        <x:f>MID(H103,SEARCH("]",H103)+1,200)</x:f>
        <x:v>종교와 사상을 중심으로 동아시아 각 지역 간 교류 양상을 파악한다.</x:v>
      </x:c>
      <x:c r="E103" s="3"/>
      <x:c r="F103" s="3"/>
      <x:c r="G103" s="3"/>
      <x:c r="H103" s="8" t="s">
        <x:v>497</x:v>
      </x:c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</x:row>
    <x:row r="104" spans="1:24">
      <x:c r="A104" t="s">
        <x:v>663</x:v>
      </x:c>
      <x:c r="B104" t="s">
        <x:v>571</x:v>
      </x:c>
      <x:c r="C104" s="6" t="str">
        <x:f>LEFT(H104,SEARCH("]",H104))</x:f>
        <x:v>[12동역02-03]</x:v>
      </x:c>
      <x:c r="D104" s="5" t="str">
        <x:f>MID(H104,SEARCH("]",H104)+1,200)</x:f>
        <x:v>몽골의 팽창 및17세기 전후 동아시아 전쟁이 초래한 변화를 이해한다.</x:v>
      </x:c>
      <x:c r="E104" s="3"/>
      <x:c r="F104" s="3"/>
      <x:c r="G104" s="3"/>
      <x:c r="H104" s="8" t="s">
        <x:v>499</x:v>
      </x:c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</x:row>
    <x:row r="105" spans="1:24">
      <x:c r="A105" t="s">
        <x:v>663</x:v>
      </x:c>
      <x:c r="B105" t="s">
        <x:v>571</x:v>
      </x:c>
      <x:c r="C105" s="6" t="str">
        <x:f>LEFT(H105,SEARCH("]",H105))</x:f>
        <x:v>[12동역02-04]</x:v>
      </x:c>
      <x:c r="D105" s="5" t="str">
        <x:f>MID(H105,SEARCH("]",H105)+1,200)</x:f>
        <x:v>이슬람과 유럽 세력의 참여를 통해 확대된 동아시아 교류의 모습을 탐구한다.</x:v>
      </x:c>
      <x:c r="E105" s="3"/>
      <x:c r="F105" s="3"/>
      <x:c r="G105" s="3"/>
      <x:c r="H105" s="8" t="s">
        <x:v>619</x:v>
      </x:c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</x:row>
    <x:row r="106" spans="1:24">
      <x:c r="A106" t="s">
        <x:v>663</x:v>
      </x:c>
      <x:c r="B106" t="s">
        <x:v>571</x:v>
      </x:c>
      <x:c r="C106" s="6" t="str">
        <x:f>LEFT(H106,SEARCH("]",H106))</x:f>
        <x:v>[12동역03-01]</x:v>
      </x:c>
      <x:c r="D106" s="5" t="str">
        <x:f>MID(H106,SEARCH("]",H106)+1,200)</x:f>
        <x:v>동아시아 지역에서 전개된 제국주의 열강의 침략 전쟁을 탐구한다.</x:v>
      </x:c>
      <x:c r="E106" s="3"/>
      <x:c r="F106" s="3"/>
      <x:c r="G106" s="3"/>
      <x:c r="H106" s="8" t="s">
        <x:v>151</x:v>
      </x:c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</x:row>
    <x:row r="107" spans="1:24">
      <x:c r="A107" t="s">
        <x:v>663</x:v>
      </x:c>
      <x:c r="B107" t="s">
        <x:v>571</x:v>
      </x:c>
      <x:c r="C107" s="6" t="str">
        <x:f>LEFT(H107,SEARCH("]",H107))</x:f>
        <x:v>[12동역03-02]</x:v>
      </x:c>
      <x:c r="D107" s="5" t="str">
        <x:f>MID(H107,SEARCH("]",H107)+1,200)</x:f>
        <x:v>아시아⋅태평양 전쟁과 이에 대한 저항과 연대의 움직임을 파악한다.</x:v>
      </x:c>
      <x:c r="E107" s="3"/>
      <x:c r="F107" s="3"/>
      <x:c r="G107" s="3"/>
      <x:c r="H107" s="8" t="s">
        <x:v>152</x:v>
      </x:c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</x:row>
    <x:row r="108" spans="1:24">
      <x:c r="A108" t="s">
        <x:v>663</x:v>
      </x:c>
      <x:c r="B108" t="s">
        <x:v>571</x:v>
      </x:c>
      <x:c r="C108" s="6" t="str">
        <x:f>LEFT(H108,SEARCH("]",H108))</x:f>
        <x:v>[12동역03-03]</x:v>
      </x:c>
      <x:c r="D108" s="5" t="str">
        <x:f>MID(H108,SEARCH("]",H108)+1,200)</x:f>
        <x:v>제국주의 열강의 침략과 전쟁이 지역 생활과 생태환경에 끼친 영향을 탐구한다.</x:v>
      </x:c>
      <x:c r="E108" s="3"/>
      <x:c r="F108" s="3"/>
      <x:c r="G108" s="3"/>
      <x:c r="H108" s="8" t="s">
        <x:v>399</x:v>
      </x:c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</x:row>
    <x:row r="109" spans="1:24">
      <x:c r="A109" t="s">
        <x:v>663</x:v>
      </x:c>
      <x:c r="B109" t="s">
        <x:v>571</x:v>
      </x:c>
      <x:c r="C109" s="6" t="str">
        <x:f>LEFT(H109,SEARCH("]",H109))</x:f>
        <x:v>[12동역04-01]</x:v>
      </x:c>
      <x:c r="D109" s="5" t="str">
        <x:f>MID(H109,SEARCH("]",H109)+1,200)</x:f>
        <x:v>냉전 시기 동아시아 지역에서 전개된 전쟁을 탐구하고,각국의 정치⋅사회적 변화를 파악한다.</x:v>
      </x:c>
      <x:c r="E109" s="3"/>
      <x:c r="F109" s="3"/>
      <x:c r="G109" s="3"/>
      <x:c r="H109" s="8" t="s">
        <x:v>655</x:v>
      </x:c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</x:row>
    <x:row r="110" spans="1:24" ht="32.75">
      <x:c r="A110" t="s">
        <x:v>663</x:v>
      </x:c>
      <x:c r="B110" t="s">
        <x:v>571</x:v>
      </x:c>
      <x:c r="C110" s="6" t="str">
        <x:f>LEFT(H110,SEARCH("]",H110))</x:f>
        <x:v>[12동역04-02]</x:v>
      </x:c>
      <x:c r="D110" s="5" t="str">
        <x:f>MID(H110,SEARCH("]",H110)+1,200)</x:f>
        <x:v>경제 및 대중문화 교류가 확대되는 모습을 이해하고,다문화 사회의 현실을 파악하여 공존을 위한 노력을 모색한다.</x:v>
      </x:c>
      <x:c r="E110" s="3"/>
      <x:c r="F110" s="3"/>
      <x:c r="G110" s="3"/>
      <x:c r="H110" s="8" t="s">
        <x:v>293</x:v>
      </x:c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</x:row>
    <x:row r="111" spans="1:24">
      <x:c r="A111" t="s">
        <x:v>663</x:v>
      </x:c>
      <x:c r="B111" t="s">
        <x:v>571</x:v>
      </x:c>
      <x:c r="C111" s="6" t="str">
        <x:f>LEFT(H111,SEARCH("]",H111))</x:f>
        <x:v>[12동역04-03]</x:v>
      </x:c>
      <x:c r="D111" s="5" t="str">
        <x:f>MID(H111,SEARCH("]",H111)+1,200)</x:f>
        <x:v>동아시아의 역사 및 영토 갈등과 새롭게 대두되는 문제를 파악하고 해결하려는 자세를갖는다.</x:v>
      </x:c>
      <x:c r="E111" s="3"/>
      <x:c r="F111" s="3"/>
      <x:c r="G111" s="3"/>
      <x:c r="H111" s="8" t="s">
        <x:v>656</x:v>
      </x:c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</x:row>
    <x:row r="112" spans="1:24" ht="32.75">
      <x:c r="A112" t="s">
        <x:v>663</x:v>
      </x:c>
      <x:c r="B112" t="s">
        <x:v>25</x:v>
      </x:c>
      <x:c r="C112" s="6" t="str">
        <x:f>LEFT(H112,SEARCH("]",H112))</x:f>
        <x:v>[12정치01-01]</x:v>
      </x:c>
      <x:c r="D112" s="5" t="str">
        <x:f>MID(H112,SEARCH("]",H112)+1,200)</x:f>
        <x:v>정치의 의미와 공동체 유지 발전에 정치가 필요한 이유를 이해하고,일상생활에서 나타나는 정치의 사례를 찾아 분석한다.</x:v>
      </x:c>
      <x:c r="E112" s="3"/>
      <x:c r="F112" s="3"/>
      <x:c r="G112" s="3"/>
      <x:c r="H112" s="8" t="s">
        <x:v>291</x:v>
      </x:c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</x:row>
    <x:row r="113" spans="1:24">
      <x:c r="A113" t="s">
        <x:v>663</x:v>
      </x:c>
      <x:c r="B113" t="s">
        <x:v>25</x:v>
      </x:c>
      <x:c r="C113" s="6" t="str">
        <x:f>LEFT(H113,SEARCH("]",H113))</x:f>
        <x:v>[12정치01-02]</x:v>
      </x:c>
      <x:c r="D113" s="5" t="str">
        <x:f>MID(H113,SEARCH("]",H113)+1,200)</x:f>
        <x:v>민주주의 이념을 이해하고,이를 구현하기 위한 다양한 민주주의의 모델을 탐색한다.</x:v>
      </x:c>
      <x:c r="E113" s="3"/>
      <x:c r="F113" s="3"/>
      <x:c r="G113" s="3"/>
      <x:c r="H113" s="8" t="s">
        <x:v>617</x:v>
      </x:c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</x:row>
    <x:row r="114" spans="1:24" ht="32.75">
      <x:c r="A114" t="s">
        <x:v>663</x:v>
      </x:c>
      <x:c r="B114" t="s">
        <x:v>25</x:v>
      </x:c>
      <x:c r="C114" s="6" t="str">
        <x:f>LEFT(H114,SEARCH("]",H114))</x:f>
        <x:v>[12정치01-03]</x:v>
      </x:c>
      <x:c r="D114" s="5" t="str">
        <x:f>MID(H114,SEARCH("]",H114)+1,200)</x:f>
        <x:v>민주 정치의 역사적 발전 과정을 이해하고,현대 민주 정치의 다양한 사상적 배경을 비교⋅분석한다.</x:v>
      </x:c>
      <x:c r="E114" s="3"/>
      <x:c r="F114" s="3"/>
      <x:c r="G114" s="3"/>
      <x:c r="H114" s="8" t="s">
        <x:v>250</x:v>
      </x:c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</x:row>
    <x:row r="115" spans="1:24">
      <x:c r="A115" t="s">
        <x:v>663</x:v>
      </x:c>
      <x:c r="B115" t="s">
        <x:v>25</x:v>
      </x:c>
      <x:c r="C115" s="6" t="str">
        <x:f>LEFT(H115,SEARCH("]",H115))</x:f>
        <x:v>[12정치01-04]</x:v>
      </x:c>
      <x:c r="D115" s="5" t="str">
        <x:f>MID(H115,SEARCH("]",H115)+1,200)</x:f>
        <x:v>민주주의를 실현하기 위한 원리를 탐색하고,이러한 원리를 일상생활에 적용한다.</x:v>
      </x:c>
      <x:c r="E115" s="3"/>
      <x:c r="F115" s="3"/>
      <x:c r="G115" s="3"/>
      <x:c r="H115" s="8" t="s">
        <x:v>612</x:v>
      </x:c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</x:row>
    <x:row r="116" spans="1:24">
      <x:c r="A116" t="s">
        <x:v>663</x:v>
      </x:c>
      <x:c r="B116" t="s">
        <x:v>25</x:v>
      </x:c>
      <x:c r="C116" s="6" t="str">
        <x:f>LEFT(H116,SEARCH("]",H116))</x:f>
        <x:v>[12정치02-01]</x:v>
      </x:c>
      <x:c r="D116" s="5" t="str">
        <x:f>MID(H116,SEARCH("]",H116)+1,200)</x:f>
        <x:v>민주 국가의 정치과정을 분석하고,시민이 정치과정에 참여해야 하는 이유를 탐색한다.</x:v>
      </x:c>
      <x:c r="E116" s="3"/>
      <x:c r="F116" s="3"/>
      <x:c r="G116" s="3"/>
      <x:c r="H116" s="8" t="s">
        <x:v>9</x:v>
      </x:c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</x:row>
    <x:row r="117" spans="1:24">
      <x:c r="A117" t="s">
        <x:v>663</x:v>
      </x:c>
      <x:c r="B117" t="s">
        <x:v>25</x:v>
      </x:c>
      <x:c r="C117" s="6" t="str">
        <x:f>LEFT(H117,SEARCH("]",H117))</x:f>
        <x:v>[12정치02-02]</x:v>
      </x:c>
      <x:c r="D117" s="5" t="str">
        <x:f>MID(H117,SEARCH("]",H117)+1,200)</x:f>
        <x:v>민주 정치에서 정당의 의미와 역할을 탐구하고,다양한 정치 참여의 방법을 비교,분석한다.</x:v>
      </x:c>
      <x:c r="E117" s="3"/>
      <x:c r="F117" s="3"/>
      <x:c r="G117" s="3"/>
      <x:c r="H117" s="8" t="s">
        <x:v>10</x:v>
      </x:c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</x:row>
    <x:row r="118" spans="1:24" ht="32.75">
      <x:c r="A118" t="s">
        <x:v>663</x:v>
      </x:c>
      <x:c r="B118" t="s">
        <x:v>25</x:v>
      </x:c>
      <x:c r="C118" s="6" t="str">
        <x:f>LEFT(H118,SEARCH("]",H118))</x:f>
        <x:v>[12정치02-03]</x:v>
      </x:c>
      <x:c r="D118" s="5" t="str">
        <x:f>MID(H118,SEARCH("]",H118)+1,200)</x:f>
        <x:v>대의제에서 선거의 중요성과 선거 제도의 다양한 유형을 이해하고,우리나라 선거 제도의 특징과 문제점을 분석한다.</x:v>
      </x:c>
      <x:c r="E118" s="3"/>
      <x:c r="F118" s="3"/>
      <x:c r="G118" s="3"/>
      <x:c r="H118" s="8" t="s">
        <x:v>36</x:v>
      </x:c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</x:row>
    <x:row r="119" spans="1:24" ht="32.75">
      <x:c r="A119" t="s">
        <x:v>663</x:v>
      </x:c>
      <x:c r="B119" t="s">
        <x:v>25</x:v>
      </x:c>
      <x:c r="C119" s="6" t="str">
        <x:f>LEFT(H119,SEARCH("]",H119))</x:f>
        <x:v>[12정치02-04]</x:v>
      </x:c>
      <x:c r="D119" s="5" t="str">
        <x:f>MID(H119,SEARCH("]",H119)+1,200)</x:f>
        <x:v>미디어를 통한 정치 참여 방법의 특징과 문제점을 분석하고,유권자이자 피선거권자로서 미디어를 비판적으로 활용하는 태도를 지닌다.</x:v>
      </x:c>
      <x:c r="E119" s="3"/>
      <x:c r="F119" s="3"/>
      <x:c r="G119" s="3"/>
      <x:c r="H119" s="8" t="s">
        <x:v>643</x:v>
      </x:c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</x:row>
    <x:row r="120" spans="1:24">
      <x:c r="A120" t="s">
        <x:v>663</x:v>
      </x:c>
      <x:c r="B120" t="s">
        <x:v>25</x:v>
      </x:c>
      <x:c r="C120" s="6" t="str">
        <x:f>LEFT(H120,SEARCH("]",H120))</x:f>
        <x:v>[12정치03-01]</x:v>
      </x:c>
      <x:c r="D120" s="5" t="str">
        <x:f>MID(H120,SEARCH("]",H120)+1,200)</x:f>
        <x:v>정치권력의 의미와 특징을 이해하고,근대 이후 국가 권력이 형성되는 원리를 이해한다.</x:v>
      </x:c>
      <x:c r="E120" s="3"/>
      <x:c r="F120" s="3"/>
      <x:c r="G120" s="3"/>
      <x:c r="H120" s="8" t="s">
        <x:v>12</x:v>
      </x:c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</x:row>
    <x:row r="121" spans="1:24" ht="32.75">
      <x:c r="A121" t="s">
        <x:v>663</x:v>
      </x:c>
      <x:c r="B121" t="s">
        <x:v>25</x:v>
      </x:c>
      <x:c r="C121" s="6" t="str">
        <x:f>LEFT(H121,SEARCH("]",H121))</x:f>
        <x:v>[12정치03-02]</x:v>
      </x:c>
      <x:c r="D121" s="5" t="str">
        <x:f>MID(H121,SEARCH("]",H121)+1,200)</x:f>
        <x:v>민주 국가의 정부 형태인 대통령제와 의원 내각제의 특징을 비교하여 이해하고,우리나라 정부 형태의 특징을 헌법을 통해 분석한다.</x:v>
      </x:c>
      <x:c r="E121" s="3"/>
      <x:c r="F121" s="3"/>
      <x:c r="G121" s="3"/>
      <x:c r="H121" s="8" t="s">
        <x:v>22</x:v>
      </x:c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</x:row>
    <x:row r="122" spans="1:24" ht="32.75">
      <x:c r="A122" t="s">
        <x:v>663</x:v>
      </x:c>
      <x:c r="B122" t="s">
        <x:v>25</x:v>
      </x:c>
      <x:c r="C122" s="6" t="str">
        <x:f>LEFT(H122,SEARCH("]",H122))</x:f>
        <x:v>[12정치03-03]</x:v>
      </x:c>
      <x:c r="D122" s="5" t="str">
        <x:f>MID(H122,SEARCH("]",H122)+1,200)</x:f>
        <x:v>입법부,행정부,사법부의 역할을 이해하고,이들 간의 상호 관계를 권력 분립의 원리에기초하여 분석한다.</x:v>
      </x:c>
      <x:c r="E122" s="3"/>
      <x:c r="F122" s="3"/>
      <x:c r="G122" s="3"/>
      <x:c r="H122" s="8" t="s">
        <x:v>253</x:v>
      </x:c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</x:row>
    <x:row r="123" spans="1:24" ht="32.75">
      <x:c r="A123" t="s">
        <x:v>663</x:v>
      </x:c>
      <x:c r="B123" t="s">
        <x:v>25</x:v>
      </x:c>
      <x:c r="C123" s="6" t="str">
        <x:f>LEFT(H123,SEARCH("]",H123))</x:f>
        <x:v>[12정치03-04]</x:v>
      </x:c>
      <x:c r="D123" s="5" t="str">
        <x:f>MID(H123,SEARCH("]",H123)+1,200)</x:f>
        <x:v>중앙 정부와의 관계 속에서 지방 자치의 의의를 이해하고,우리나라 지방 자치의 현실과 과제를 탐구한다.</x:v>
      </x:c>
      <x:c r="E123" s="3"/>
      <x:c r="F123" s="3"/>
      <x:c r="G123" s="3"/>
      <x:c r="H123" s="8" t="s">
        <x:v>260</x:v>
      </x:c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</x:row>
    <x:row r="124" spans="1:24">
      <x:c r="A124" t="s">
        <x:v>663</x:v>
      </x:c>
      <x:c r="B124" t="s">
        <x:v>25</x:v>
      </x:c>
      <x:c r="C124" s="6" t="str">
        <x:f>LEFT(H124,SEARCH("]",H124))</x:f>
        <x:v>[12정치04-01]</x:v>
      </x:c>
      <x:c r="D124" s="5" t="str">
        <x:f>MID(H124,SEARCH("]",H124)+1,200)</x:f>
        <x:v>국제 사회의 특징과 변화 과정을 이해하고 국제 정치를 바라보는 관점을 비교하여 분석한다.</x:v>
      </x:c>
      <x:c r="E124" s="3"/>
      <x:c r="F124" s="3"/>
      <x:c r="G124" s="3"/>
      <x:c r="H124" s="8" t="s">
        <x:v>44</x:v>
      </x:c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</x:row>
    <x:row r="125" spans="1:24" ht="32.75">
      <x:c r="A125" t="s">
        <x:v>663</x:v>
      </x:c>
      <x:c r="B125" t="s">
        <x:v>25</x:v>
      </x:c>
      <x:c r="C125" s="6" t="str">
        <x:f>LEFT(H125,SEARCH("]",H125))</x:f>
        <x:v>[12정치04-02]</x:v>
      </x:c>
      <x:c r="D125" s="5" t="str">
        <x:f>MID(H125,SEARCH("]",H125)+1,200)</x:f>
        <x:v>다양한 국제 문제의 원인을 분석하고,이를 해결하기 위해 국가를 비롯한 여러 주체가수행하는 활동을 분석한다.</x:v>
      </x:c>
      <x:c r="E125" s="3"/>
      <x:c r="F125" s="3"/>
      <x:c r="G125" s="3"/>
      <x:c r="H125" s="8" t="s">
        <x:v>431</x:v>
      </x:c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</x:row>
    <x:row r="126" spans="1:24" ht="32.75">
      <x:c r="A126" t="s">
        <x:v>663</x:v>
      </x:c>
      <x:c r="B126" t="s">
        <x:v>25</x:v>
      </x:c>
      <x:c r="C126" s="6" t="str">
        <x:f>LEFT(H126,SEARCH("]",H126))</x:f>
        <x:v>[12정치04-03]</x:v>
      </x:c>
      <x:c r="D126" s="5" t="str">
        <x:f>MID(H126,SEARCH("]",H126)+1,200)</x:f>
        <x:v>우리나라를 둘러싼 국제 관계를 이해하고,외교적 관점에서 한반도를 둘러싼 국제질서를 분석한다.</x:v>
      </x:c>
      <x:c r="E126" s="3"/>
      <x:c r="F126" s="3"/>
      <x:c r="G126" s="3"/>
      <x:c r="H126" s="8" t="s">
        <x:v>43</x:v>
      </x:c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</x:row>
    <x:row r="127" spans="1:24" ht="32.75">
      <x:c r="A127" t="s">
        <x:v>663</x:v>
      </x:c>
      <x:c r="B127" t="s">
        <x:v>25</x:v>
      </x:c>
      <x:c r="C127" s="6" t="str">
        <x:f>LEFT(H127,SEARCH("]",H127))</x:f>
        <x:v>[12정치04-04]</x:v>
      </x:c>
      <x:c r="D127" s="5" t="str">
        <x:f>MID(H127,SEARCH("]",H127)+1,200)</x:f>
        <x:v>국제 사회에서 발생하는 다양한 갈등의 원인을 분석하고 세계시민으로서 갈등을 해결하는 자세를 갖는다.</x:v>
      </x:c>
      <x:c r="E127" s="3"/>
      <x:c r="F127" s="3"/>
      <x:c r="G127" s="3"/>
      <x:c r="H127" s="8" t="s">
        <x:v>233</x:v>
      </x:c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</x:row>
    <x:row r="128" spans="1:24" ht="32.75">
      <x:c r="A128" t="s">
        <x:v>663</x:v>
      </x:c>
      <x:c r="B128" t="s">
        <x:v>585</x:v>
      </x:c>
      <x:c r="C128" s="6" t="str">
        <x:f>LEFT(H128,SEARCH("]",H128))</x:f>
        <x:v>[12법사01-01]</x:v>
      </x:c>
      <x:c r="D128" s="5" t="str">
        <x:f>MID(H128,SEARCH("]",H128)+1,200)</x:f>
        <x:v>가족관계와 관련된 기본적인 내용인 혼인,출생,상속 등을 이해하고,이를 일상생활의사례에 적용한다.</x:v>
      </x:c>
      <x:c r="E128" s="3"/>
      <x:c r="F128" s="3"/>
      <x:c r="G128" s="3"/>
      <x:c r="H128" s="8" t="s">
        <x:v>234</x:v>
      </x:c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3"/>
      <x:c r="V128" s="3"/>
      <x:c r="W128" s="3"/>
      <x:c r="X128" s="3"/>
    </x:row>
    <x:row r="129" spans="1:24" ht="32.75">
      <x:c r="A129" t="s">
        <x:v>663</x:v>
      </x:c>
      <x:c r="B129" t="s">
        <x:v>585</x:v>
      </x:c>
      <x:c r="C129" s="6" t="str">
        <x:f>LEFT(H129,SEARCH("]",H129))</x:f>
        <x:v>[12법사01-02]</x:v>
      </x:c>
      <x:c r="D129" s="5" t="str">
        <x:f>MID(H129,SEARCH("]",H129)+1,200)</x:f>
        <x:v>채권 관계와 관련된 기본적인 내용인 계약,불법행위 등과 사적 자치를 이해하고,이를일상생활의 사례에 적용한다.</x:v>
      </x:c>
      <x:c r="E129" s="3"/>
      <x:c r="F129" s="3"/>
      <x:c r="G129" s="3"/>
      <x:c r="H129" s="8" t="s">
        <x:v>440</x:v>
      </x:c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3"/>
      <x:c r="V129" s="3"/>
      <x:c r="W129" s="3"/>
      <x:c r="X129" s="3"/>
    </x:row>
    <x:row r="130" spans="1:24" ht="32.75">
      <x:c r="A130" t="s">
        <x:v>663</x:v>
      </x:c>
      <x:c r="B130" t="s">
        <x:v>585</x:v>
      </x:c>
      <x:c r="C130" s="6" t="str">
        <x:f>LEFT(H130,SEARCH("]",H130))</x:f>
        <x:v>[12법사01-03]</x:v>
      </x:c>
      <x:c r="D130" s="5" t="str">
        <x:f>MID(H130,SEARCH("]",H130)+1,200)</x:f>
        <x:v>물권 관계와 관련된 기본적인 내용인 부동산⋅동산에 관한 권리의 기능과 특징,권리와의무로 구성되는 법(률)관계를 이해하고,이를 일상생활의 사례에 적용하여 법적 문제를해결한다.</x:v>
      </x:c>
      <x:c r="E130" s="3"/>
      <x:c r="F130" s="3"/>
      <x:c r="G130" s="3"/>
      <x:c r="H130" s="9" t="s">
        <x:v>308</x:v>
      </x:c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3"/>
      <x:c r="V130" s="3"/>
      <x:c r="W130" s="3"/>
      <x:c r="X130" s="3"/>
    </x:row>
    <x:row r="131" spans="1:24">
      <x:c r="A131" t="s">
        <x:v>663</x:v>
      </x:c>
      <x:c r="B131" t="s">
        <x:v>585</x:v>
      </x:c>
      <x:c r="C131" s="6" t="str">
        <x:f>LEFT(H131,SEARCH("]",H131))</x:f>
        <x:v>[12법사02-01]</x:v>
      </x:c>
      <x:c r="D131" s="5" t="str">
        <x:f>MID(H131,SEARCH("]",H131)+1,200)</x:f>
        <x:v>민주주의와 법치주의의 발전 과정을 이해하고,우리나라 권력 분립의 원리를 탐구한다.</x:v>
      </x:c>
      <x:c r="E131" s="3"/>
      <x:c r="F131" s="3"/>
      <x:c r="G131" s="3"/>
      <x:c r="H131" s="8" t="s">
        <x:v>77</x:v>
      </x:c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</x:row>
    <x:row r="132" spans="1:24">
      <x:c r="A132" t="s">
        <x:v>663</x:v>
      </x:c>
      <x:c r="B132" t="s">
        <x:v>585</x:v>
      </x:c>
      <x:c r="C132" s="6" t="str">
        <x:f>LEFT(H132,SEARCH("]",H132))</x:f>
        <x:v>[12법사02-02]</x:v>
      </x:c>
      <x:c r="D132" s="5" t="str">
        <x:f>MID(H132,SEARCH("]",H132)+1,200)</x:f>
        <x:v>우리나라 헌법의 기본 원리와 기본권 내용을 이해하고,기본권 제한의 요건과 한계를 탐구한다.</x:v>
      </x:c>
      <x:c r="E132" s="3"/>
      <x:c r="F132" s="3"/>
      <x:c r="G132" s="3"/>
      <x:c r="H132" s="8" t="s">
        <x:v>625</x:v>
      </x:c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</x:row>
    <x:row r="133" spans="1:24" ht="32.75">
      <x:c r="A133" t="s">
        <x:v>663</x:v>
      </x:c>
      <x:c r="B133" t="s">
        <x:v>585</x:v>
      </x:c>
      <x:c r="C133" s="6" t="str">
        <x:f>LEFT(H133,SEARCH("]",H133))</x:f>
        <x:v>[12법사02-03]</x:v>
      </x:c>
      <x:c r="D133" s="5" t="str">
        <x:f>MID(H133,SEARCH("]",H133)+1,200)</x:f>
        <x:v>형법의 의의와 기능을 죄형 법정주의를 중심으로 이해하고,범죄의 성립 요건과 형벌의종류,형사 절차를 탐구한다.</x:v>
      </x:c>
      <x:c r="E133" s="3"/>
      <x:c r="F133" s="3"/>
      <x:c r="G133" s="3"/>
      <x:c r="H133" s="8" t="s">
        <x:v>434</x:v>
      </x:c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</x:row>
    <x:row r="134" spans="1:24" ht="32.75">
      <x:c r="A134" t="s">
        <x:v>663</x:v>
      </x:c>
      <x:c r="B134" t="s">
        <x:v>585</x:v>
      </x:c>
      <x:c r="C134" s="6" t="str">
        <x:f>LEFT(H134,SEARCH("]",H134))</x:f>
        <x:v>[12법사02-04]</x:v>
      </x:c>
      <x:c r="D134" s="5" t="str">
        <x:f>MID(H134,SEARCH("]",H134)+1,200)</x:f>
        <x:v>법원과 헌법재판소의 법적 문제 해결 과정을 탐구하고,사법의 의미와 한계를 인식하여입법론적 해결이 필요한 경우를 탐구한다.</x:v>
      </x:c>
      <x:c r="E134" s="3"/>
      <x:c r="F134" s="3"/>
      <x:c r="G134" s="3"/>
      <x:c r="H134" s="8" t="s">
        <x:v>359</x:v>
      </x:c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</x:row>
    <x:row r="135" spans="1:24">
      <x:c r="A135" t="s">
        <x:v>663</x:v>
      </x:c>
      <x:c r="B135" t="s">
        <x:v>585</x:v>
      </x:c>
      <x:c r="C135" s="6" t="str">
        <x:f>LEFT(H135,SEARCH("]",H135))</x:f>
        <x:v>[12법사03-01]</x:v>
      </x:c>
      <x:c r="D135" s="5" t="str">
        <x:f>MID(H135,SEARCH("]",H135)+1,200)</x:f>
        <x:v>법으로 보장되는 근로자의 권리를 이해하고,이를 일상생활의 사례에 적용한다.</x:v>
      </x:c>
      <x:c r="E135" s="3"/>
      <x:c r="F135" s="3"/>
      <x:c r="G135" s="3"/>
      <x:c r="H135" s="8" t="s">
        <x:v>660</x:v>
      </x:c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3"/>
      <x:c r="V135" s="3"/>
      <x:c r="W135" s="3"/>
      <x:c r="X135" s="3"/>
    </x:row>
    <x:row r="136" spans="1:24" ht="32.75">
      <x:c r="A136" t="s">
        <x:v>663</x:v>
      </x:c>
      <x:c r="B136" t="s">
        <x:v>585</x:v>
      </x:c>
      <x:c r="C136" s="6" t="str">
        <x:f>LEFT(H136,SEARCH("]",H136))</x:f>
        <x:v>[12법사03-02]</x:v>
      </x:c>
      <x:c r="D136" s="5" t="str">
        <x:f>MID(H136,SEARCH("]",H136)+1,200)</x:f>
        <x:v>인간다운 생활을 보장하려는 사회보장과 경쟁 및 소비자를 보호하기 위한 법적 근거를 탐구하고,구체적인 사례에서 공공 쟁점을 찾아 토론한다.</x:v>
      </x:c>
      <x:c r="E136" s="3"/>
      <x:c r="F136" s="3"/>
      <x:c r="G136" s="3"/>
      <x:c r="H136" s="9" t="s">
        <x:v>112</x:v>
      </x:c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3"/>
      <x:c r="V136" s="3"/>
      <x:c r="W136" s="3"/>
      <x:c r="X136" s="3"/>
    </x:row>
    <x:row r="137" spans="1:24" ht="32.75">
      <x:c r="A137" t="s">
        <x:v>663</x:v>
      </x:c>
      <x:c r="B137" t="s">
        <x:v>585</x:v>
      </x:c>
      <x:c r="C137" s="6" t="str">
        <x:f>LEFT(H137,SEARCH("]",H137))</x:f>
        <x:v>[12법사03-03]</x:v>
      </x:c>
      <x:c r="D137" s="5" t="str">
        <x:f>MID(H137,SEARCH("]",H137)+1,200)</x:f>
        <x:v>현대적 법(률)관계의 특징과 지적 재산권의 의미를 이해하고,이와 관련된 일상생활에서의 사례를 찾아보고 관련 쟁점을 토론한다.</x:v>
      </x:c>
      <x:c r="E137" s="3"/>
      <x:c r="F137" s="3"/>
      <x:c r="G137" s="3"/>
      <x:c r="H137" s="8" t="s">
        <x:v>123</x:v>
      </x:c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3"/>
      <x:c r="V137" s="3"/>
      <x:c r="W137" s="3"/>
      <x:c r="X137" s="3"/>
    </x:row>
    <x:row r="138" spans="1:24" ht="32.75">
      <x:c r="A138" t="s">
        <x:v>663</x:v>
      </x:c>
      <x:c r="B138" t="s">
        <x:v>585</x:v>
      </x:c>
      <x:c r="C138" s="6" t="str">
        <x:f>LEFT(H138,SEARCH("]",H138))</x:f>
        <x:v>[12법사04-01]</x:v>
      </x:c>
      <x:c r="D138" s="5" t="str">
        <x:f>MID(H138,SEARCH("]",H138)+1,200)</x:f>
        <x:v>학생과 청소년이 누릴 수 있는 권리와 의무를 이해하고,이를 학교와 일상생활의 사례에적용한다.</x:v>
      </x:c>
      <x:c r="E138" s="3"/>
      <x:c r="F138" s="3"/>
      <x:c r="G138" s="3"/>
      <x:c r="H138" s="8" t="s">
        <x:v>319</x:v>
      </x:c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3"/>
      <x:c r="V138" s="3"/>
      <x:c r="W138" s="3"/>
      <x:c r="X138" s="3"/>
    </x:row>
    <x:row r="139" spans="1:24" ht="32.75">
      <x:c r="A139" t="s">
        <x:v>663</x:v>
      </x:c>
      <x:c r="B139" t="s">
        <x:v>585</x:v>
      </x:c>
      <x:c r="C139" s="6" t="str">
        <x:f>LEFT(H139,SEARCH("]",H139))</x:f>
        <x:v>[12법사04-02]</x:v>
      </x:c>
      <x:c r="D139" s="5" t="str">
        <x:f>MID(H139,SEARCH("]",H139)+1,200)</x:f>
        <x:v>학교폭력의 해결 과정을 살펴보며,학교생활에서 발생하였거나 발생할 수 있는 법적 문제를 발견하고 그 해결 방안을 탐구한다.</x:v>
      </x:c>
      <x:c r="E139" s="3"/>
      <x:c r="F139" s="3"/>
      <x:c r="G139" s="3"/>
      <x:c r="H139" s="8" t="s">
        <x:v>367</x:v>
      </x:c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3"/>
      <x:c r="V139" s="3"/>
      <x:c r="W139" s="3"/>
      <x:c r="X139" s="3"/>
    </x:row>
    <x:row r="140" spans="1:24" ht="32.75">
      <x:c r="A140" t="s">
        <x:v>663</x:v>
      </x:c>
      <x:c r="B140" t="s">
        <x:v>585</x:v>
      </x:c>
      <x:c r="C140" s="6" t="str">
        <x:f>LEFT(H140,SEARCH("]",H140))</x:f>
        <x:v>[12법사04-03]</x:v>
      </x:c>
      <x:c r="D140" s="5" t="str">
        <x:f>MID(H140,SEARCH("]",H140)+1,200)</x:f>
        <x:v>법적 문제를 해결하는데 필요한 법,조약,판례,입법자료 등을 찾아보고,민주시민으로서 나와 사회가 당면한 사회적 논의에 참여하는 태도를 가진다.</x:v>
      </x:c>
      <x:c r="E140" s="3"/>
      <x:c r="F140" s="3"/>
      <x:c r="G140" s="3"/>
      <x:c r="H140" s="9" t="s">
        <x:v>339</x:v>
      </x:c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3"/>
      <x:c r="V140" s="3"/>
      <x:c r="W140" s="3"/>
      <x:c r="X140" s="3"/>
    </x:row>
    <x:row r="141" spans="1:24" ht="32.75">
      <x:c r="A141" t="s">
        <x:v>663</x:v>
      </x:c>
      <x:c r="B141" t="s">
        <x:v>485</x:v>
      </x:c>
      <x:c r="C141" s="6" t="str">
        <x:f>LEFT(H141,SEARCH("]",H141))</x:f>
        <x:v>[12경제01-01]</x:v>
      </x:c>
      <x:c r="D141" s="5" t="str">
        <x:f>MID(H141,SEARCH("]",H141)+1,200)</x:f>
        <x:v>인간 생활에서 자원의 희소성으로 인해 발생하는 경제 문제의 중요성을 인식하고,경제학의 분석 대상과 성격을 이해한다.</x:v>
      </x:c>
      <x:c r="E141" s="3"/>
      <x:c r="F141" s="3"/>
      <x:c r="G141" s="3"/>
      <x:c r="H141" s="8" t="s">
        <x:v>140</x:v>
      </x:c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3"/>
      <x:c r="V141" s="3"/>
      <x:c r="W141" s="3"/>
      <x:c r="X141" s="3"/>
    </x:row>
    <x:row r="142" spans="1:24" ht="32.75">
      <x:c r="A142" t="s">
        <x:v>663</x:v>
      </x:c>
      <x:c r="B142" t="s">
        <x:v>485</x:v>
      </x:c>
      <x:c r="C142" s="6" t="str">
        <x:f>LEFT(H142,SEARCH("]",H142))</x:f>
        <x:v>[12경제01-02]</x:v>
      </x:c>
      <x:c r="D142" s="5" t="str">
        <x:f>MID(H142,SEARCH("]",H142)+1,200)</x:f>
        <x:v>경제 문제를 해결하는 다양한 방식의 장단점을 비교하고,시장경제의 기본 원리와이를 뒷받침하는 제도를 파악한다.</x:v>
      </x:c>
      <x:c r="E142" s="3"/>
      <x:c r="F142" s="3"/>
      <x:c r="G142" s="3"/>
      <x:c r="H142" s="8" t="s">
        <x:v>460</x:v>
      </x:c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3"/>
      <x:c r="V142" s="3"/>
      <x:c r="W142" s="3"/>
      <x:c r="X142" s="3"/>
    </x:row>
    <x:row r="143" spans="1:24" ht="32.75">
      <x:c r="A143" t="s">
        <x:v>663</x:v>
      </x:c>
      <x:c r="B143" t="s">
        <x:v>485</x:v>
      </x:c>
      <x:c r="C143" s="6" t="str">
        <x:f>LEFT(H143,SEARCH("]",H143))</x:f>
        <x:v>[12경제01-03]</x:v>
      </x:c>
      <x:c r="D143" s="5" t="str">
        <x:f>MID(H143,SEARCH("]",H143)+1,200)</x:f>
        <x:v>인간은 경제적 유인에 반응함을 인식하고,편익과 비용을 고려하여 합리적으로 선택하는 능력과 한계 분석을 이용한 의사 결정 능력을 계발한다.</x:v>
      </x:c>
      <x:c r="E143" s="3"/>
      <x:c r="F143" s="3"/>
      <x:c r="G143" s="3"/>
      <x:c r="H143" s="9" t="s">
        <x:v>407</x:v>
      </x:c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3"/>
      <x:c r="V143" s="3"/>
      <x:c r="W143" s="3"/>
      <x:c r="X143" s="3"/>
    </x:row>
    <x:row r="144" spans="1:24">
      <x:c r="A144" t="s">
        <x:v>663</x:v>
      </x:c>
      <x:c r="B144" t="s">
        <x:v>485</x:v>
      </x:c>
      <x:c r="C144" s="6" t="str">
        <x:f>LEFT(H144,SEARCH("]",H144))</x:f>
        <x:v>[12경제02-01]</x:v>
      </x:c>
      <x:c r="D144" s="5" t="str">
        <x:f>MID(H144,SEARCH("]",H144)+1,200)</x:f>
        <x:v>수요와 공급에 의한 시장 균형의 결정과 변동 원리를 파악하고,이를 다양한 시장에 적용한다.</x:v>
      </x:c>
      <x:c r="E144" s="3"/>
      <x:c r="F144" s="3"/>
      <x:c r="G144" s="3"/>
      <x:c r="H144" s="8" t="s">
        <x:v>558</x:v>
      </x:c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</x:row>
    <x:row r="145" spans="1:24" ht="32.75">
      <x:c r="A145" t="s">
        <x:v>663</x:v>
      </x:c>
      <x:c r="B145" t="s">
        <x:v>485</x:v>
      </x:c>
      <x:c r="C145" s="6" t="str">
        <x:f>LEFT(H145,SEARCH("]",H145))</x:f>
        <x:v>[12경제02-02]</x:v>
      </x:c>
      <x:c r="D145" s="5" t="str">
        <x:f>MID(H145,SEARCH("]",H145)+1,200)</x:f>
        <x:v>정부를 비롯한 공공 부문의 경제적 역할을 이해하고,조세,공공재 등과 같이 시장의 자원 배분에 개입하는 사례를 탐구한다.</x:v>
      </x:c>
      <x:c r="E145" s="3"/>
      <x:c r="F145" s="3"/>
      <x:c r="G145" s="3"/>
      <x:c r="H145" s="8" t="s">
        <x:v>363</x:v>
      </x:c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</x:row>
    <x:row r="146" spans="1:24" ht="32.75">
      <x:c r="A146" t="s">
        <x:v>663</x:v>
      </x:c>
      <x:c r="B146" t="s">
        <x:v>485</x:v>
      </x:c>
      <x:c r="C146" s="6" t="str">
        <x:f>LEFT(H146,SEARCH("]",H146))</x:f>
        <x:v>[12경제02-03]</x:v>
      </x:c>
      <x:c r="D146" s="5" t="str">
        <x:f>MID(H146,SEARCH("]",H146)+1,200)</x:f>
        <x:v>시장 기능과 공공 부문의 활동을 비교하고,자원 배분의 효율성과 형평성에 미치는영향을 평가한다.</x:v>
      </x:c>
      <x:c r="E146" s="3"/>
      <x:c r="F146" s="3"/>
      <x:c r="G146" s="3"/>
      <x:c r="H146" s="8" t="s">
        <x:v>557</x:v>
      </x:c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</x:row>
    <x:row r="147" spans="1:24">
      <x:c r="A147" t="s">
        <x:v>663</x:v>
      </x:c>
      <x:c r="B147" t="s">
        <x:v>485</x:v>
      </x:c>
      <x:c r="C147" s="6" t="str">
        <x:f>LEFT(H147,SEARCH("]",H147))</x:f>
        <x:v>[12경제03-01]</x:v>
      </x:c>
      <x:c r="D147" s="5" t="str">
        <x:f>MID(H147,SEARCH("]",H147)+1,200)</x:f>
        <x:v>여러 가지 거시 경제 변수를 탐색하고,국가 경제 전반의 활동 수준을 파악한다.</x:v>
      </x:c>
      <x:c r="E147" s="3"/>
      <x:c r="F147" s="3"/>
      <x:c r="G147" s="3"/>
      <x:c r="H147" s="8" t="s">
        <x:v>615</x:v>
      </x:c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</x:row>
    <x:row r="148" spans="1:24" ht="32.75">
      <x:c r="A148" t="s">
        <x:v>663</x:v>
      </x:c>
      <x:c r="B148" t="s">
        <x:v>485</x:v>
      </x:c>
      <x:c r="C148" s="6" t="str">
        <x:f>LEFT(H148,SEARCH("]",H148))</x:f>
        <x:v>[12경제03-02]</x:v>
      </x:c>
      <x:c r="D148" s="5" t="str">
        <x:f>MID(H148,SEARCH("]",H148)+1,200)</x:f>
        <x:v>경제 성장의 의미와 요인을 이해하고,한국 경제의 변화와 경제적 성과를 균형 있는 시각에서 평가한다.</x:v>
      </x:c>
      <x:c r="E148" s="3"/>
      <x:c r="F148" s="3"/>
      <x:c r="G148" s="3"/>
      <x:c r="H148" s="8" t="s">
        <x:v>229</x:v>
      </x:c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</x:row>
    <x:row r="149" spans="1:24">
      <x:c r="A149" t="s">
        <x:v>663</x:v>
      </x:c>
      <x:c r="B149" t="s">
        <x:v>485</x:v>
      </x:c>
      <x:c r="C149" s="6" t="str">
        <x:f>LEFT(H149,SEARCH("]",H149))</x:f>
        <x:v>[12경제03-03]</x:v>
      </x:c>
      <x:c r="D149" s="5" t="str">
        <x:f>MID(H149,SEARCH("]",H149)+1,200)</x:f>
        <x:v>경기 변동의 의미와 요인을 이해하고,경기 안정화 방안으로 재정 정책과 통화 정책을 분석한다.</x:v>
      </x:c>
      <x:c r="E149" s="3"/>
      <x:c r="F149" s="3"/>
      <x:c r="G149" s="3"/>
      <x:c r="H149" s="8" t="s">
        <x:v>561</x:v>
      </x:c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</x:row>
    <x:row r="150" spans="1:24">
      <x:c r="A150" t="s">
        <x:v>663</x:v>
      </x:c>
      <x:c r="B150" t="s">
        <x:v>485</x:v>
      </x:c>
      <x:c r="C150" s="6" t="str">
        <x:f>LEFT(H150,SEARCH("]",H150))</x:f>
        <x:v>[12경제04-01]</x:v>
      </x:c>
      <x:c r="D150" s="5" t="str">
        <x:f>MID(H150,SEARCH("]",H150)+1,200)</x:f>
        <x:v>개방된 국제 사회에서 국제 거래를 파악하고,국가 간 상호 의존성이 증대하고 있음을이해한다.</x:v>
      </x:c>
      <x:c r="E150" s="3"/>
      <x:c r="F150" s="3"/>
      <x:c r="G150" s="3"/>
      <x:c r="H150" s="8" t="s">
        <x:v>267</x:v>
      </x:c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</x:row>
    <x:row r="151" spans="1:24" ht="32.75">
      <x:c r="A151" t="s">
        <x:v>663</x:v>
      </x:c>
      <x:c r="B151" t="s">
        <x:v>485</x:v>
      </x:c>
      <x:c r="C151" s="6" t="str">
        <x:f>LEFT(H151,SEARCH("]",H151))</x:f>
        <x:v>[12경제04-02]</x:v>
      </x:c>
      <x:c r="D151" s="5" t="str">
        <x:f>MID(H151,SEARCH("]",H151)+1,200)</x:f>
        <x:v>비교 우위에 따른 특화와 교역을 중심으로 무역 원리를 이해하고,자유 무역과 보호 무역 정책의 경제적 효과를 설명한다.</x:v>
      </x:c>
      <x:c r="E151" s="3"/>
      <x:c r="F151" s="3"/>
      <x:c r="G151" s="3"/>
      <x:c r="H151" s="8" t="s">
        <x:v>356</x:v>
      </x:c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</x:row>
    <x:row r="152" spans="1:24" ht="32.75">
      <x:c r="A152" t="s">
        <x:v>663</x:v>
      </x:c>
      <x:c r="B152" t="s">
        <x:v>485</x:v>
      </x:c>
      <x:c r="C152" s="6" t="str">
        <x:f>LEFT(H152,SEARCH("]",H152))</x:f>
        <x:v>[12경제04-03]</x:v>
      </x:c>
      <x:c r="D152" s="5" t="str">
        <x:f>MID(H152,SEARCH("]",H152)+1,200)</x:f>
        <x:v>외환 시장에서 환율의 결정 원리를 이해하고,환율 변동이 국가 경제와 개인의 경제생활에 미치는 영향을 탐구한다.</x:v>
      </x:c>
      <x:c r="E152" s="3"/>
      <x:c r="F152" s="3"/>
      <x:c r="G152" s="3"/>
      <x:c r="H152" s="8" t="s">
        <x:v>141</x:v>
      </x:c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</x:row>
    <x:row r="153" spans="1:24">
      <x:c r="A153" t="s">
        <x:v>663</x:v>
      </x:c>
      <x:c r="B153" t="s">
        <x:v>574</x:v>
      </x:c>
      <x:c r="C153" s="6" t="str">
        <x:f>LEFT(H153,SEARCH("]",H153))</x:f>
        <x:v>[12국관01-01]</x:v>
      </x:c>
      <x:c r="D153" s="5" t="str">
        <x:f>MID(H153,SEARCH("]",H153)+1,200)</x:f>
        <x:v>근대 이후 국제 관계의 형성과 변화 과정을 파악한다.</x:v>
      </x:c>
      <x:c r="E153" s="3"/>
      <x:c r="F153" s="3"/>
      <x:c r="G153" s="3"/>
      <x:c r="H153" s="8" t="s">
        <x:v>410</x:v>
      </x:c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</x:row>
    <x:row r="154" spans="1:24" ht="32.75">
      <x:c r="A154" t="s">
        <x:v>663</x:v>
      </x:c>
      <x:c r="B154" t="s">
        <x:v>574</x:v>
      </x:c>
      <x:c r="C154" s="6" t="str">
        <x:f>LEFT(H154,SEARCH("]",H154))</x:f>
        <x:v>[12국관01-02]</x:v>
      </x:c>
      <x:c r="D154" s="5" t="str">
        <x:f>MID(H154,SEARCH("]",H154)+1,200)</x:f>
        <x:v>국제 사회를 이해하는 주요 관점인 현실주의와 자유주의를 중심으로 구체적인 국제관계의 사례를 분석하고,대안적 관점들을 탐색한다.</x:v>
      </x:c>
      <x:c r="E154" s="3"/>
      <x:c r="F154" s="3"/>
      <x:c r="G154" s="3"/>
      <x:c r="H154" s="8" t="s">
        <x:v>31</x:v>
      </x:c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</x:row>
    <x:row r="155" spans="1:24" ht="32.75">
      <x:c r="A155" t="s">
        <x:v>663</x:v>
      </x:c>
      <x:c r="B155" t="s">
        <x:v>574</x:v>
      </x:c>
      <x:c r="C155" s="6" t="str">
        <x:f>LEFT(H155,SEARCH("]",H155))</x:f>
        <x:v>[12국관01-03]</x:v>
      </x:c>
      <x:c r="D155" s="5" t="str">
        <x:f>MID(H155,SEARCH("]",H155)+1,200)</x:f>
        <x:v>국제 문제를 해결하기 위한 다양한 행위 주체의 활동을 탐색하고,그 성과와 문제점에대하여 토론한다.</x:v>
      </x:c>
      <x:c r="E155" s="3"/>
      <x:c r="F155" s="3"/>
      <x:c r="G155" s="3"/>
      <x:c r="H155" s="8" t="s">
        <x:v>231</x:v>
      </x:c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</x:row>
    <x:row r="156" spans="1:24">
      <x:c r="A156" t="s">
        <x:v>663</x:v>
      </x:c>
      <x:c r="B156" t="s">
        <x:v>574</x:v>
      </x:c>
      <x:c r="C156" s="6" t="str">
        <x:f>LEFT(H156,SEARCH("]",H156))</x:f>
        <x:v>[12국관02-01]</x:v>
      </x:c>
      <x:c r="D156" s="5" t="str">
        <x:f>MID(H156,SEARCH("]",H156)+1,200)</x:f>
        <x:v>국가 간 불평등의 원인을 파악하고,이러한 불평등이 야기하는 갈등 상황을 분석한다.</x:v>
      </x:c>
      <x:c r="E156" s="3"/>
      <x:c r="F156" s="3"/>
      <x:c r="G156" s="3"/>
      <x:c r="H156" s="8" t="s">
        <x:v>11</x:v>
      </x:c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</x:row>
    <x:row r="157" spans="1:24" ht="32.75">
      <x:c r="A157" t="s">
        <x:v>663</x:v>
      </x:c>
      <x:c r="B157" t="s">
        <x:v>574</x:v>
      </x:c>
      <x:c r="C157" s="6" t="str">
        <x:f>LEFT(H157,SEARCH("]",H157))</x:f>
        <x:v>[12국관02-02]</x:v>
      </x:c>
      <x:c r="D157" s="5" t="str">
        <x:f>MID(H157,SEARCH("]",H157)+1,200)</x:f>
        <x:v>공정 무역과 공적 개발 원조 등 국제 사회의 상생을 위한 노력을 조사하고,다양한행위 주체의 협력 방안을 탐색한다.</x:v>
      </x:c>
      <x:c r="E157" s="3"/>
      <x:c r="F157" s="3"/>
      <x:c r="G157" s="3"/>
      <x:c r="H157" s="8" t="s">
        <x:v>34</x:v>
      </x:c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</x:row>
    <x:row r="158" spans="1:24" ht="32.75">
      <x:c r="A158" t="s">
        <x:v>663</x:v>
      </x:c>
      <x:c r="B158" t="s">
        <x:v>574</x:v>
      </x:c>
      <x:c r="C158" s="6" t="str">
        <x:f>LEFT(H158,SEARCH("]",H158))</x:f>
        <x:v>[12국관02-03]</x:v>
      </x:c>
      <x:c r="D158" s="5" t="str">
        <x:f>MID(H158,SEARCH("]",H158)+1,200)</x:f>
        <x:v>국제 사회에서 우리나라의 위상을 파악하고,국제 사회의 불평등 문제를 해결하기 위한우리나라의 역할을 토론한다.</x:v>
      </x:c>
      <x:c r="E158" s="3"/>
      <x:c r="F158" s="3"/>
      <x:c r="G158" s="3"/>
      <x:c r="H158" s="8" t="s">
        <x:v>444</x:v>
      </x:c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</x:row>
    <x:row r="159" spans="1:24">
      <x:c r="A159" t="s">
        <x:v>663</x:v>
      </x:c>
      <x:c r="B159" t="s">
        <x:v>574</x:v>
      </x:c>
      <x:c r="C159" s="6" t="str">
        <x:f>LEFT(H159,SEARCH("]",H159))</x:f>
        <x:v>[12국관03-01]</x:v>
      </x:c>
      <x:c r="D159" s="5" t="str">
        <x:f>MID(H159,SEARCH("]",H159)+1,200)</x:f>
        <x:v>인류가 직면한 평화와 안전의 상황을 다각적으로 조사한다.</x:v>
      </x:c>
      <x:c r="E159" s="3"/>
      <x:c r="F159" s="3"/>
      <x:c r="G159" s="3"/>
      <x:c r="H159" s="8" t="s">
        <x:v>467</x:v>
      </x:c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3"/>
      <x:c r="V159" s="3"/>
      <x:c r="W159" s="3"/>
      <x:c r="X159" s="3"/>
    </x:row>
    <x:row r="160" spans="1:24" ht="32.75">
      <x:c r="A160" t="s">
        <x:v>663</x:v>
      </x:c>
      <x:c r="B160" t="s">
        <x:v>574</x:v>
      </x:c>
      <x:c r="C160" s="6" t="str">
        <x:f>LEFT(H160,SEARCH("]",H160))</x:f>
        <x:v>[12국관03-02]</x:v>
      </x:c>
      <x:c r="D160" s="5" t="str">
        <x:f>MID(H160,SEARCH("]",H160)+1,200)</x:f>
        <x:v>개인,국가,국제 사회의 평화와 안전을 위협하는 요인을 정치,경제,사회,문화의다양한 영역에 걸쳐 파악하고,이를 해결하기 위한 실천 방안을 탐색한다.</x:v>
      </x:c>
      <x:c r="E160" s="3"/>
      <x:c r="F160" s="3"/>
      <x:c r="G160" s="3"/>
      <x:c r="H160" s="9" t="s">
        <x:v>110</x:v>
      </x:c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3"/>
      <x:c r="V160" s="3"/>
      <x:c r="W160" s="3"/>
      <x:c r="X160" s="3"/>
    </x:row>
    <x:row r="161" spans="1:24" ht="32.75">
      <x:c r="A161" t="s">
        <x:v>663</x:v>
      </x:c>
      <x:c r="B161" t="s">
        <x:v>574</x:v>
      </x:c>
      <x:c r="C161" s="6" t="str">
        <x:f>LEFT(H161,SEARCH("]",H161))</x:f>
        <x:v>[12국관03-03]</x:v>
      </x:c>
      <x:c r="D161" s="5" t="str">
        <x:f>MID(H161,SEARCH("]",H161)+1,200)</x:f>
        <x:v>역동적인 국제 관계 속에서 우리나라가 당면한 평화와 안전의 문제를 파악하고,평화와안전을 도모할 수 있는 구체적인 방안에 대하여 토론한다.</x:v>
      </x:c>
      <x:c r="E161" s="3"/>
      <x:c r="F161" s="3"/>
      <x:c r="G161" s="3"/>
      <x:c r="H161" s="9" t="s">
        <x:v>204</x:v>
      </x:c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3"/>
      <x:c r="V161" s="3"/>
      <x:c r="W161" s="3"/>
      <x:c r="X161" s="3"/>
    </x:row>
    <x:row r="162" spans="1:24">
      <x:c r="A162" t="s">
        <x:v>663</x:v>
      </x:c>
      <x:c r="B162" t="s">
        <x:v>574</x:v>
      </x:c>
      <x:c r="C162" s="6" t="str">
        <x:f>LEFT(H162,SEARCH("]",H162))</x:f>
        <x:v>[12국관04-01]</x:v>
      </x:c>
      <x:c r="D162" s="5" t="str">
        <x:f>MID(H162,SEARCH("]",H162)+1,200)</x:f>
        <x:v>국제 분쟁을 해결하기 위한 외교와 국제법의 필요성과 기능을 탐색한다.</x:v>
      </x:c>
      <x:c r="E162" s="3"/>
      <x:c r="F162" s="3"/>
      <x:c r="G162" s="3"/>
      <x:c r="H162" s="8" t="s">
        <x:v>58</x:v>
      </x:c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</x:row>
    <x:row r="163" spans="1:24">
      <x:c r="A163" t="s">
        <x:v>663</x:v>
      </x:c>
      <x:c r="B163" t="s">
        <x:v>574</x:v>
      </x:c>
      <x:c r="C163" s="6" t="str">
        <x:f>LEFT(H163,SEARCH("]",H163))</x:f>
        <x:v>[12국관04-02]</x:v>
      </x:c>
      <x:c r="D163" s="5" t="str">
        <x:f>MID(H163,SEARCH("]",H163)+1,200)</x:f>
        <x:v>국제법의 특징과 법원(法源)을 조사하고,국제 사법 재판소의 역할과 한계를 파악한다.</x:v>
      </x:c>
      <x:c r="E163" s="3"/>
      <x:c r="F163" s="3"/>
      <x:c r="G163" s="3"/>
      <x:c r="H163" s="8" t="s">
        <x:v>8</x:v>
      </x:c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</x:row>
    <x:row r="164" spans="1:24" ht="32.75">
      <x:c r="A164" t="s">
        <x:v>663</x:v>
      </x:c>
      <x:c r="B164" t="s">
        <x:v>574</x:v>
      </x:c>
      <x:c r="C164" s="6" t="str">
        <x:f>LEFT(H164,SEARCH("]",H164))</x:f>
        <x:v>[12국관04-03]</x:v>
      </x:c>
      <x:c r="D164" s="5" t="str">
        <x:f>MID(H164,SEARCH("]",H164)+1,200)</x:f>
        <x:v>국제 사회에서 다양한 지역 통합이 이루어지는 현상과 그 이유를 확인하고,지역 기구의 구성원으로서 우리나라의 역할을 토론한다.</x:v>
      </x:c>
      <x:c r="E164" s="3"/>
      <x:c r="F164" s="3"/>
      <x:c r="G164" s="3"/>
      <x:c r="H164" s="8" t="s">
        <x:v>550</x:v>
      </x:c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</x:row>
    <x:row r="165" spans="1:24" ht="32.75">
      <x:c r="A165" t="s">
        <x:v>663</x:v>
      </x:c>
      <x:c r="B165" t="s">
        <x:v>199</x:v>
      </x:c>
      <x:c r="C165" s="6" t="str">
        <x:f>LEFT(H165,SEARCH("]",H165))</x:f>
        <x:v>[12여지01-01]</x:v>
      </x:c>
      <x:c r="D165" s="5" t="str">
        <x:f>MID(H165,SEARCH("]",H165)+1,200)</x:f>
        <x:v>다양한 여행 사례와 자신의 여행 경험을 통해 여행의 의미를 파악하고 여행이 삶과세계 인식에 미치는 영향을 토의한다.</x:v>
      </x:c>
      <x:c r="E165" s="3"/>
      <x:c r="F165" s="3"/>
      <x:c r="G165" s="3"/>
      <x:c r="H165" s="8" t="s">
        <x:v>35</x:v>
      </x:c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3"/>
      <x:c r="V165" s="3"/>
      <x:c r="W165" s="3"/>
      <x:c r="X165" s="3"/>
    </x:row>
    <x:row r="166" spans="1:24" ht="32.75">
      <x:c r="A166" t="s">
        <x:v>663</x:v>
      </x:c>
      <x:c r="B166" t="s">
        <x:v>199</x:v>
      </x:c>
      <x:c r="C166" s="6" t="str">
        <x:f>LEFT(H166,SEARCH("]",H166))</x:f>
        <x:v>[12여지01-02]</x:v>
      </x:c>
      <x:c r="D166" s="5" t="str">
        <x:f>MID(H166,SEARCH("]",H166)+1,200)</x:f>
        <x:v>모빌리티의 변화와 발전에 따라 여행자의 이동,위치,장소가 어떻게 연결되고 관계를 맺는지 살펴보고,다양한 지도 및 지리정보기술을 활용하여 안전한 여행 계획을 수립한다.</x:v>
      </x:c>
      <x:c r="E166" s="3"/>
      <x:c r="F166" s="3"/>
      <x:c r="G166" s="3"/>
      <x:c r="H166" s="9" t="s">
        <x:v>657</x:v>
      </x:c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3"/>
      <x:c r="V166" s="3"/>
      <x:c r="W166" s="3"/>
      <x:c r="X166" s="3"/>
    </x:row>
    <x:row r="167" spans="1:24" ht="32.75">
      <x:c r="A167" t="s">
        <x:v>663</x:v>
      </x:c>
      <x:c r="B167" t="s">
        <x:v>199</x:v>
      </x:c>
      <x:c r="C167" s="6" t="str">
        <x:f>LEFT(H167,SEARCH("]",H167))</x:f>
        <x:v>[12여지02-01]</x:v>
      </x:c>
      <x:c r="D167" s="5" t="str">
        <x:f>MID(H167,SEARCH("]",H167)+1,200)</x:f>
        <x:v>인간의 정주공간으로서의 도시를 새로운 관점에서 낯설게 바라보고,여행지로서의 향유가능성을 탐색한다.</x:v>
      </x:c>
      <x:c r="E167" s="3"/>
      <x:c r="F167" s="3"/>
      <x:c r="G167" s="3"/>
      <x:c r="H167" s="8" t="s">
        <x:v>242</x:v>
      </x:c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3"/>
      <x:c r="V167" s="3"/>
      <x:c r="W167" s="3"/>
      <x:c r="X167" s="3"/>
    </x:row>
    <x:row r="168" spans="1:24" ht="32.75">
      <x:c r="A168" t="s">
        <x:v>663</x:v>
      </x:c>
      <x:c r="B168" t="s">
        <x:v>199</x:v>
      </x:c>
      <x:c r="C168" s="6" t="str">
        <x:f>LEFT(H168,SEARCH("]",H168))</x:f>
        <x:v>[12여지02-02]</x:v>
      </x:c>
      <x:c r="D168" s="5" t="str">
        <x:f>MID(H168,SEARCH("]",H168)+1,200)</x:f>
        <x:v>다양한 문화 경관의 형성 배경과 의미를 이해하고,감정이입과 공감의 자세로 여행지 주민을 배려하고 존중한다.</x:v>
      </x:c>
      <x:c r="E168" s="3"/>
      <x:c r="F168" s="3"/>
      <x:c r="G168" s="3"/>
      <x:c r="H168" s="8" t="s">
        <x:v>436</x:v>
      </x:c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3"/>
      <x:c r="V168" s="3"/>
      <x:c r="W168" s="3"/>
      <x:c r="X168" s="3"/>
    </x:row>
    <x:row r="169" spans="1:24" ht="32.75">
      <x:c r="A169" t="s">
        <x:v>663</x:v>
      </x:c>
      <x:c r="B169" t="s">
        <x:v>199</x:v>
      </x:c>
      <x:c r="C169" s="6" t="str">
        <x:f>LEFT(H169,SEARCH("]",H169))</x:f>
        <x:v>[12여지02-03]</x:v>
      </x:c>
      <x:c r="D169" s="5" t="str">
        <x:f>MID(H169,SEARCH("]",H169)+1,200)</x:f>
        <x:v>여행지의 기후 및 기후변화가 여행자와 여행지 주민에게 미치는 영향과 그 차이를 비교하고,지리적 상상력을 동원한 간접여행을 통해 기후경관을 체험한다.</x:v>
      </x:c>
      <x:c r="E169" s="3"/>
      <x:c r="F169" s="3"/>
      <x:c r="G169" s="3"/>
      <x:c r="H169" s="9" t="s">
        <x:v>103</x:v>
      </x:c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3"/>
      <x:c r="V169" s="3"/>
      <x:c r="W169" s="3"/>
      <x:c r="X169" s="3"/>
    </x:row>
    <x:row r="170" spans="1:24" ht="32.75">
      <x:c r="A170" t="s">
        <x:v>663</x:v>
      </x:c>
      <x:c r="B170" t="s">
        <x:v>199</x:v>
      </x:c>
      <x:c r="C170" s="6" t="str">
        <x:f>LEFT(H170,SEARCH("]",H170))</x:f>
        <x:v>[12여지02-04]</x:v>
      </x:c>
      <x:c r="D170" s="5" t="str">
        <x:f>MID(H170,SEARCH("]",H170)+1,200)</x:f>
        <x:v>지형 경관이 지닌 자연적 가치,심미적인 조화,인간과의 상호 작용과 같은 지오사이트의 선정기준을 조사하고,지오투어리즘 프로그램을 제안한다.</x:v>
      </x:c>
      <x:c r="E170" s="3"/>
      <x:c r="F170" s="3"/>
      <x:c r="G170" s="3"/>
      <x:c r="H170" s="9" t="s">
        <x:v>419</x:v>
      </x:c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3"/>
      <x:c r="V170" s="3"/>
      <x:c r="W170" s="3"/>
      <x:c r="X170" s="3"/>
    </x:row>
    <x:row r="171" spans="1:24" ht="32.75">
      <x:c r="A171" t="s">
        <x:v>663</x:v>
      </x:c>
      <x:c r="B171" t="s">
        <x:v>199</x:v>
      </x:c>
      <x:c r="C171" s="6" t="str">
        <x:f>LEFT(H171,SEARCH("]",H171))</x:f>
        <x:v>[12여지03-01]</x:v>
      </x:c>
      <x:c r="D171" s="5" t="str">
        <x:f>MID(H171,SEARCH("]",H171)+1,200)</x:f>
        <x:v>인류의 물질적,정신적 발전 과정을 성찰할 수 있는 산업유산 및 기념물을 조사하고 여행지의 가치를 평가한다.</x:v>
      </x:c>
      <x:c r="E171" s="3"/>
      <x:c r="F171" s="3"/>
      <x:c r="G171" s="3"/>
      <x:c r="H171" s="8" t="s">
        <x:v>435</x:v>
      </x:c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3"/>
      <x:c r="V171" s="3"/>
      <x:c r="W171" s="3"/>
      <x:c r="X171" s="3"/>
    </x:row>
    <x:row r="172" spans="1:24" ht="32.75">
      <x:c r="A172" t="s">
        <x:v>663</x:v>
      </x:c>
      <x:c r="B172" t="s">
        <x:v>199</x:v>
      </x:c>
      <x:c r="C172" s="6" t="str">
        <x:f>LEFT(H172,SEARCH("]",H172))</x:f>
        <x:v>[12여지03-02]</x:v>
      </x:c>
      <x:c r="D172" s="5" t="str">
        <x:f>MID(H172,SEARCH("]",H172)+1,200)</x:f>
        <x:v>평화,전쟁,재난의 상징이 새겨진 지역에 대한 직간접적인 여행을 체험하고 이를 바탕으로 인권,정의,인류의 공존을 둘러싼 구조적 문제를 비판적으로 탐구한다.</x:v>
      </x:c>
      <x:c r="E172" s="3"/>
      <x:c r="F172" s="3"/>
      <x:c r="G172" s="3"/>
      <x:c r="H172" s="9" t="s">
        <x:v>386</x:v>
      </x:c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3"/>
      <x:c r="V172" s="3"/>
      <x:c r="W172" s="3"/>
      <x:c r="X172" s="3"/>
    </x:row>
    <x:row r="173" spans="1:24" ht="49.14999999999999857891">
      <x:c r="A173" t="s">
        <x:v>663</x:v>
      </x:c>
      <x:c r="B173" t="s">
        <x:v>199</x:v>
      </x:c>
      <x:c r="C173" s="6" t="str">
        <x:f>LEFT(H173,SEARCH("]",H173))</x:f>
        <x:v>[12여지03-03]</x:v>
      </x:c>
      <x:c r="D173" s="5" t="str">
        <x:f>MID(H173,SEARCH("]",H173)+1,200)</x:f>
        <x:v>문화 창조,첨단 기술과 같은 새로움을 지향하는 지역의 사례를 조사하고,내가 살고있는 지역의 로컬 큐레이터로서 다양한 여행 콘텐츠의 발굴과 모니터링을 통해 지역의의미와 가치를 탐색한다.</x:v>
      </x:c>
      <x:c r="E173" s="3"/>
      <x:c r="F173" s="3"/>
      <x:c r="G173" s="3"/>
      <x:c r="H173" s="9" t="s">
        <x:v>189</x:v>
      </x:c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3"/>
      <x:c r="V173" s="3"/>
      <x:c r="W173" s="3"/>
      <x:c r="X173" s="3"/>
    </x:row>
    <x:row r="174" spans="1:24" ht="32.75">
      <x:c r="A174" t="s">
        <x:v>663</x:v>
      </x:c>
      <x:c r="B174" t="s">
        <x:v>199</x:v>
      </x:c>
      <x:c r="C174" s="6" t="str">
        <x:f>LEFT(H174,SEARCH("]",H174))</x:f>
        <x:v>[12여지03-04]</x:v>
      </x:c>
      <x:c r="D174" s="5" t="str">
        <x:f>MID(H174,SEARCH("]",H174)+1,200)</x:f>
        <x:v>공정여행을 통해 여행지를 둘러싼 다양한 문제를 탐색하고,여행자인 나와 여행지 주민인 그들이 연결된다는 점에서 공존의 의미와 생태 감수성에 대해 성찰한다.</x:v>
      </x:c>
      <x:c r="E174" s="3"/>
      <x:c r="F174" s="3"/>
      <x:c r="G174" s="3"/>
      <x:c r="H174" s="9" t="s">
        <x:v>389</x:v>
      </x:c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3"/>
      <x:c r="V174" s="3"/>
      <x:c r="W174" s="3"/>
      <x:c r="X174" s="3"/>
    </x:row>
    <x:row r="175" spans="1:24" ht="32.75">
      <x:c r="A175" t="s">
        <x:v>663</x:v>
      </x:c>
      <x:c r="B175" t="s">
        <x:v>199</x:v>
      </x:c>
      <x:c r="C175" s="6" t="str">
        <x:f>LEFT(H175,SEARCH("]",H175))</x:f>
        <x:v>[12여지04-01]</x:v>
      </x:c>
      <x:c r="D175" s="5" t="str">
        <x:f>MID(H175,SEARCH("]",H175)+1,200)</x:f>
        <x:v>미디어와 여행의 상호관계를 통해 여행의 변화양상을 조사하고 미래 사회의 여행자와 여행의 모습을 예측한다.</x:v>
      </x:c>
      <x:c r="E175" s="3"/>
      <x:c r="F175" s="3"/>
      <x:c r="G175" s="3"/>
      <x:c r="H175" s="8" t="s">
        <x:v>453</x:v>
      </x:c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</x:row>
    <x:row r="176" spans="1:24" ht="32.75">
      <x:c r="A176" t="s">
        <x:v>663</x:v>
      </x:c>
      <x:c r="B176" t="s">
        <x:v>199</x:v>
      </x:c>
      <x:c r="C176" s="6" t="str">
        <x:f>LEFT(H176,SEARCH("]",H176))</x:f>
        <x:v>[12여지04-02]</x:v>
      </x:c>
      <x:c r="D176" s="5" t="str">
        <x:f>MID(H176,SEARCH("]",H176)+1,200)</x:f>
        <x:v>여행이 주는 가치의 재발견을 통해 자신만의 여행 포트폴리오를 구성하고 나의 삶을 변화시키는 일상 속의 다양한 여행을 실천한다.</x:v>
      </x:c>
      <x:c r="E176" s="3"/>
      <x:c r="F176" s="3"/>
      <x:c r="G176" s="3"/>
      <x:c r="H176" s="8" t="s">
        <x:v>664</x:v>
      </x:c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</x:row>
    <x:row r="177" spans="1:24">
      <x:c r="A177" t="s">
        <x:v>663</x:v>
      </x:c>
      <x:c r="B177" t="s">
        <x:v>658</x:v>
      </x:c>
      <x:c r="C177" s="6" t="str">
        <x:f>LEFT(H177,SEARCH("]",H177))</x:f>
        <x:v>[12역현01-01]</x:v>
      </x:c>
      <x:c r="D177" s="5" t="str">
        <x:f>MID(H177,SEARCH("]",H177)+1,200)</x:f>
        <x:v>현대 세계를 전후 체제 형성의 역사를 중심으로 파악한다.</x:v>
      </x:c>
      <x:c r="E177" s="3"/>
      <x:c r="F177" s="3"/>
      <x:c r="G177" s="3"/>
      <x:c r="H177" s="8" t="s">
        <x:v>219</x:v>
      </x:c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</x:row>
    <x:row r="178" spans="1:24">
      <x:c r="A178" t="s">
        <x:v>663</x:v>
      </x:c>
      <x:c r="B178" t="s">
        <x:v>658</x:v>
      </x:c>
      <x:c r="C178" s="6" t="str">
        <x:f>LEFT(H178,SEARCH("]",H178))</x:f>
        <x:v>[12역현01-02]</x:v>
      </x:c>
      <x:c r="D178" s="5" t="str">
        <x:f>MID(H178,SEARCH("]",H178)+1,200)</x:f>
        <x:v>학습자가 생각하는 현대 세계의 과제를 선정⋅조사하고 그 특징을 분석한다.</x:v>
      </x:c>
      <x:c r="E178" s="3"/>
      <x:c r="F178" s="3"/>
      <x:c r="G178" s="3"/>
      <x:c r="H178" s="8" t="s">
        <x:v>268</x:v>
      </x:c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</x:row>
    <x:row r="179" spans="1:24">
      <x:c r="A179" t="s">
        <x:v>663</x:v>
      </x:c>
      <x:c r="B179" t="s">
        <x:v>658</x:v>
      </x:c>
      <x:c r="C179" s="6" t="str">
        <x:f>LEFT(H179,SEARCH("]",H179))</x:f>
        <x:v>[12역현02-01]</x:v>
      </x:c>
      <x:c r="D179" s="5" t="str">
        <x:f>MID(H179,SEARCH("]",H179)+1,200)</x:f>
        <x:v>제2차 세계 대전 이후 인권⋅평화를 위한 국제 사회의 노력과 한계를 파악한다.</x:v>
      </x:c>
      <x:c r="E179" s="3"/>
      <x:c r="F179" s="3"/>
      <x:c r="G179" s="3"/>
      <x:c r="H179" s="8" t="s">
        <x:v>217</x:v>
      </x:c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</x:row>
    <x:row r="180" spans="1:24">
      <x:c r="A180" t="s">
        <x:v>663</x:v>
      </x:c>
      <x:c r="B180" t="s">
        <x:v>658</x:v>
      </x:c>
      <x:c r="C180" s="6" t="str">
        <x:f>LEFT(H180,SEARCH("]",H180))</x:f>
        <x:v>[12역현02-02]</x:v>
      </x:c>
      <x:c r="D180" s="5" t="str">
        <x:f>MID(H180,SEARCH("]",H180)+1,200)</x:f>
        <x:v>냉전 시기 열전의 전개 양상을 찾아보고,전쟁 당사국의 전쟁 경험을 비교한다.</x:v>
      </x:c>
      <x:c r="E180" s="3"/>
      <x:c r="F180" s="3"/>
      <x:c r="G180" s="3"/>
      <x:c r="H180" s="8" t="s">
        <x:v>218</x:v>
      </x:c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</x:row>
    <x:row r="181" spans="1:24">
      <x:c r="A181" t="s">
        <x:v>663</x:v>
      </x:c>
      <x:c r="B181" t="s">
        <x:v>658</x:v>
      </x:c>
      <x:c r="C181" s="6" t="str">
        <x:f>LEFT(H181,SEARCH("]",H181))</x:f>
        <x:v>[12역현02-03]</x:v>
      </x:c>
      <x:c r="D181" s="5" t="str">
        <x:f>MID(H181,SEARCH("]",H181)+1,200)</x:f>
        <x:v>세계 여러 지역의 전쟁 관련 기념 시설이 제시하는 기억 방식을 조사하여 분석한다.</x:v>
      </x:c>
      <x:c r="E181" s="3"/>
      <x:c r="F181" s="3"/>
      <x:c r="G181" s="3"/>
      <x:c r="H181" s="8" t="s">
        <x:v>79</x:v>
      </x:c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</x:row>
    <x:row r="182" spans="1:24">
      <x:c r="A182" t="s">
        <x:v>663</x:v>
      </x:c>
      <x:c r="B182" t="s">
        <x:v>658</x:v>
      </x:c>
      <x:c r="C182" s="6" t="str">
        <x:f>LEFT(H182,SEARCH("]",H182))</x:f>
        <x:v>[12역현03-01]</x:v>
      </x:c>
      <x:c r="D182" s="5" t="str">
        <x:f>MID(H182,SEARCH("]",H182)+1,200)</x:f>
        <x:v>세계 경제의 성장과 기술 혁신의 변화 양상을 조사한다.</x:v>
      </x:c>
      <x:c r="E182" s="3"/>
      <x:c r="F182" s="3"/>
      <x:c r="G182" s="3"/>
      <x:c r="H182" s="8" t="s">
        <x:v>468</x:v>
      </x:c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</x:row>
    <x:row r="183" spans="1:24">
      <x:c r="A183" t="s">
        <x:v>663</x:v>
      </x:c>
      <x:c r="B183" t="s">
        <x:v>658</x:v>
      </x:c>
      <x:c r="C183" s="6" t="str">
        <x:f>LEFT(H183,SEARCH("]",H183))</x:f>
        <x:v>[12역현03-02]</x:v>
      </x:c>
      <x:c r="D183" s="5" t="str">
        <x:f>MID(H183,SEARCH("]",H183)+1,200)</x:f>
        <x:v>대중 소비 사회의 형성과 생태환경의 문제 및 극복 노력을 사례 중심으로 탐구한다.</x:v>
      </x:c>
      <x:c r="E183" s="3"/>
      <x:c r="F183" s="3"/>
      <x:c r="G183" s="3"/>
      <x:c r="H183" s="8" t="s">
        <x:v>69</x:v>
      </x:c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</x:row>
    <x:row r="184" spans="1:24">
      <x:c r="A184" t="s">
        <x:v>663</x:v>
      </x:c>
      <x:c r="B184" t="s">
        <x:v>658</x:v>
      </x:c>
      <x:c r="C184" s="6" t="str">
        <x:f>LEFT(H184,SEARCH("]",H184))</x:f>
        <x:v>[12역현03-03]</x:v>
      </x:c>
      <x:c r="D184" s="5" t="str">
        <x:f>MID(H184,SEARCH("]",H184)+1,200)</x:f>
        <x:v>기후변화와 관련된 협약 및 보고서를 조사하고,그 의미를 추론한다.</x:v>
      </x:c>
      <x:c r="E184" s="3"/>
      <x:c r="F184" s="3"/>
      <x:c r="G184" s="3"/>
      <x:c r="H184" s="8" t="s">
        <x:v>86</x:v>
      </x:c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</x:row>
    <x:row r="185" spans="1:24">
      <x:c r="A185" t="s">
        <x:v>663</x:v>
      </x:c>
      <x:c r="B185" t="s">
        <x:v>658</x:v>
      </x:c>
      <x:c r="C185" s="6" t="str">
        <x:f>LEFT(H185,SEARCH("]",H185))</x:f>
        <x:v>[12역현04-01]</x:v>
      </x:c>
      <x:c r="D185" s="5" t="str">
        <x:f>MID(H185,SEARCH("]",H185)+1,200)</x:f>
        <x:v>국제 분쟁 및 무력 갈등의 원인과 전개 양상을 사례 중심으로 파악한다.</x:v>
      </x:c>
      <x:c r="E185" s="3"/>
      <x:c r="F185" s="3"/>
      <x:c r="G185" s="3"/>
      <x:c r="H185" s="8" t="s">
        <x:v>186</x:v>
      </x:c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</x:row>
    <x:row r="186" spans="1:24">
      <x:c r="A186" t="s">
        <x:v>663</x:v>
      </x:c>
      <x:c r="B186" t="s">
        <x:v>658</x:v>
      </x:c>
      <x:c r="C186" s="6" t="str">
        <x:f>LEFT(H186,SEARCH("]",H186))</x:f>
        <x:v>[12역현04-02]</x:v>
      </x:c>
      <x:c r="D186" s="5" t="str">
        <x:f>MID(H186,SEARCH("]",H186)+1,200)</x:f>
        <x:v>탈냉전 이후‘제3세계’국가의 권위주의 체제 변동에 따른 갈등 양상과 특징을 조사한다.</x:v>
      </x:c>
      <x:c r="E186" s="3"/>
      <x:c r="F186" s="3"/>
      <x:c r="G186" s="3"/>
      <x:c r="H186" s="8" t="s">
        <x:v>75</x:v>
      </x:c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</x:row>
    <x:row r="187" spans="1:24">
      <x:c r="A187" t="s">
        <x:v>663</x:v>
      </x:c>
      <x:c r="B187" t="s">
        <x:v>658</x:v>
      </x:c>
      <x:c r="C187" s="6" t="str">
        <x:f>LEFT(H187,SEARCH("]",H187))</x:f>
        <x:v>[12역현04-03]</x:v>
      </x:c>
      <x:c r="D187" s="5" t="str">
        <x:f>MID(H187,SEARCH("]",H187)+1,200)</x:f>
        <x:v>국내외 분쟁과 갈등을 해결하기 위한 역사 정책 사례를 탐구한다.</x:v>
      </x:c>
      <x:c r="E187" s="3"/>
      <x:c r="F187" s="3"/>
      <x:c r="G187" s="3"/>
      <x:c r="H187" s="8" t="s">
        <x:v>91</x:v>
      </x:c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</x:row>
    <x:row r="188" spans="1:24">
      <x:c r="A188" t="s">
        <x:v>663</x:v>
      </x:c>
      <x:c r="B188" t="s">
        <x:v>658</x:v>
      </x:c>
      <x:c r="C188" s="6" t="str">
        <x:f>LEFT(H188,SEARCH("]",H188))</x:f>
        <x:v>[12역현05-01]</x:v>
      </x:c>
      <x:c r="D188" s="5" t="str">
        <x:f>MID(H188,SEARCH("]",H188)+1,200)</x:f>
        <x:v>경제의 세계화 이후 사회⋅경제적 변화를 국가,지역,세계적 차원에서 파악한다.</x:v>
      </x:c>
      <x:c r="E188" s="3"/>
      <x:c r="F188" s="3"/>
      <x:c r="G188" s="3"/>
      <x:c r="H188" s="8" t="s">
        <x:v>636</x:v>
      </x:c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</x:row>
    <x:row r="189" spans="1:24">
      <x:c r="A189" t="s">
        <x:v>663</x:v>
      </x:c>
      <x:c r="B189" t="s">
        <x:v>658</x:v>
      </x:c>
      <x:c r="C189" s="6" t="str">
        <x:f>LEFT(H189,SEARCH("]",H189))</x:f>
        <x:v>[12역현05-02]</x:v>
      </x:c>
      <x:c r="D189" s="5" t="str">
        <x:f>MID(H189,SEARCH("]",H189)+1,200)</x:f>
        <x:v>다문화 사회의 갈등 문제를 역사적으로 파악하고,이를 해결하기 위해 노력한 사례를 조사한다.</x:v>
      </x:c>
      <x:c r="E189" s="3"/>
      <x:c r="F189" s="3"/>
      <x:c r="G189" s="3"/>
      <x:c r="H189" s="8" t="s">
        <x:v>318</x:v>
      </x:c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</x:row>
    <x:row r="190" spans="1:24">
      <x:c r="A190" t="s">
        <x:v>663</x:v>
      </x:c>
      <x:c r="B190" t="s">
        <x:v>658</x:v>
      </x:c>
      <x:c r="C190" s="6" t="str">
        <x:f>LEFT(H190,SEARCH("]",H190))</x:f>
        <x:v>[12역현05-03]</x:v>
      </x:c>
      <x:c r="D190" s="5" t="str">
        <x:f>MID(H190,SEARCH("]",H190)+1,200)</x:f>
        <x:v>문화 다양성 관련 국제 규범의 형성 과정을 살펴보고,그 의미와 한계를 탐구한다.</x:v>
      </x:c>
      <x:c r="E190" s="3"/>
      <x:c r="F190" s="3"/>
      <x:c r="G190" s="3"/>
      <x:c r="H190" s="8" t="s">
        <x:v>637</x:v>
      </x:c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</x:row>
    <x:row r="191" spans="1:24">
      <x:c r="A191" t="s">
        <x:v>663</x:v>
      </x:c>
      <x:c r="B191" t="s">
        <x:v>659</x:v>
      </x:c>
      <x:c r="C191" s="6" t="str">
        <x:f>LEFT(H191,SEARCH("]",H191))</x:f>
        <x:v>[12사탐01-01]</x:v>
      </x:c>
      <x:c r="D191" s="5" t="str">
        <x:f>MID(H191,SEARCH("]",H191)+1,200)</x:f>
        <x:v>사회문제의 의미와 특징을 이해하고,사회문제를 바라보는 주요 관점을 비교한다.</x:v>
      </x:c>
      <x:c r="E191" s="3"/>
      <x:c r="F191" s="3"/>
      <x:c r="G191" s="3"/>
      <x:c r="H191" s="8" t="s">
        <x:v>222</x:v>
      </x:c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</x:row>
    <x:row r="192" spans="1:24" ht="32.75">
      <x:c r="A192" t="s">
        <x:v>663</x:v>
      </x:c>
      <x:c r="B192" t="s">
        <x:v>659</x:v>
      </x:c>
      <x:c r="C192" s="6" t="str">
        <x:f>LEFT(H192,SEARCH("]",H192))</x:f>
        <x:v>[12사탐01-02]</x:v>
      </x:c>
      <x:c r="D192" s="5" t="str">
        <x:f>MID(H192,SEARCH("]",H192)+1,200)</x:f>
        <x:v>사회문제에 대한 과학적 탐구의 필요성을 설명하고,사회문제 탐구를 위한 연구 방법과다양한 자료 수집 방법의 특징을 비교한다.</x:v>
      </x:c>
      <x:c r="E192" s="3"/>
      <x:c r="F192" s="3"/>
      <x:c r="G192" s="3"/>
      <x:c r="H192" s="8" t="s">
        <x:v>346</x:v>
      </x:c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</x:row>
    <x:row r="193" spans="1:24" ht="32.75">
      <x:c r="A193" t="s">
        <x:v>663</x:v>
      </x:c>
      <x:c r="B193" t="s">
        <x:v>659</x:v>
      </x:c>
      <x:c r="C193" s="6" t="str">
        <x:f>LEFT(H193,SEARCH("]",H193))</x:f>
        <x:v>[12사탐01-03]</x:v>
      </x:c>
      <x:c r="D193" s="5" t="str">
        <x:f>MID(H193,SEARCH("]",H193)+1,200)</x:f>
        <x:v>다양한 자료 수집 방법을 적용한 실제 사례를 활용하여 수집된 자료를 분석하고 해석하는 방법을 설명한다.</x:v>
      </x:c>
      <x:c r="E193" s="3"/>
      <x:c r="F193" s="3"/>
      <x:c r="G193" s="3"/>
      <x:c r="H193" s="8" t="s">
        <x:v>446</x:v>
      </x:c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</x:row>
    <x:row r="194" spans="1:24" ht="32.75">
      <x:c r="A194" t="s">
        <x:v>663</x:v>
      </x:c>
      <x:c r="B194" t="s">
        <x:v>659</x:v>
      </x:c>
      <x:c r="C194" s="6" t="str">
        <x:f>LEFT(H194,SEARCH("]",H194))</x:f>
        <x:v>[12사탐01-04]</x:v>
      </x:c>
      <x:c r="D194" s="5" t="str">
        <x:f>MID(H194,SEARCH("]",H194)+1,200)</x:f>
        <x:v>사회문제의 탐구 과정에서 요구되는 연구 윤리를 설명하고,연구 윤리를 준수하며 사회문제를 탐구하는 태도를 가진다.</x:v>
      </x:c>
      <x:c r="E194" s="3"/>
      <x:c r="F194" s="3"/>
      <x:c r="G194" s="3"/>
      <x:c r="H194" s="8" t="s">
        <x:v>38</x:v>
      </x:c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</x:row>
    <x:row r="195" spans="1:24">
      <x:c r="A195" t="s">
        <x:v>663</x:v>
      </x:c>
      <x:c r="B195" t="s">
        <x:v>659</x:v>
      </x:c>
      <x:c r="C195" s="6" t="str">
        <x:f>LEFT(H195,SEARCH("]",H195))</x:f>
        <x:v>[12사탐02-01]</x:v>
      </x:c>
      <x:c r="D195" s="5" t="str">
        <x:f>MID(H195,SEARCH("]",H195)+1,200)</x:f>
        <x:v>일상생활에서 나타나는 성 불평등 문제의 실태를 조사하고,원인과 해결 방안을 제시한다.</x:v>
      </x:c>
      <x:c r="E195" s="3"/>
      <x:c r="F195" s="3"/>
      <x:c r="G195" s="3"/>
      <x:c r="H195" s="8" t="s">
        <x:v>67</x:v>
      </x:c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</x:row>
    <x:row r="196" spans="1:24">
      <x:c r="A196" t="s">
        <x:v>663</x:v>
      </x:c>
      <x:c r="B196" t="s">
        <x:v>659</x:v>
      </x:c>
      <x:c r="C196" s="6" t="str">
        <x:f>LEFT(H196,SEARCH("]",H196))</x:f>
        <x:v>[12사탐02-02]</x:v>
      </x:c>
      <x:c r="D196" s="5" t="str">
        <x:f>MID(H196,SEARCH("]",H196)+1,200)</x:f>
        <x:v>청소년의 미디어 이용 과정에서 나타나는 문제를 조사하고,원인과 해결 방안을 제시한다.</x:v>
      </x:c>
      <x:c r="E196" s="3"/>
      <x:c r="F196" s="3"/>
      <x:c r="G196" s="3"/>
      <x:c r="H196" s="8" t="s">
        <x:v>68</x:v>
      </x:c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</x:row>
    <x:row r="197" spans="1:24">
      <x:c r="A197" t="s">
        <x:v>663</x:v>
      </x:c>
      <x:c r="B197" t="s">
        <x:v>659</x:v>
      </x:c>
      <x:c r="C197" s="6" t="str">
        <x:f>LEFT(H197,SEARCH("]",H197))</x:f>
        <x:v>[12사탐03-01]</x:v>
      </x:c>
      <x:c r="D197" s="5" t="str">
        <x:f>MID(H197,SEARCH("]",H197)+1,200)</x:f>
        <x:v>저출산⋅고령화로 인해 발생하는 다양한 사회문제의 실태를 조사하고,해결 방안을제시한다.</x:v>
      </x:c>
      <x:c r="E197" s="3"/>
      <x:c r="F197" s="3"/>
      <x:c r="G197" s="3"/>
      <x:c r="H197" s="8" t="s">
        <x:v>73</x:v>
      </x:c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</x:row>
    <x:row r="198" spans="1:24">
      <x:c r="A198" t="s">
        <x:v>663</x:v>
      </x:c>
      <x:c r="B198" t="s">
        <x:v>659</x:v>
      </x:c>
      <x:c r="C198" s="6" t="str">
        <x:f>LEFT(H198,SEARCH("]",H198))</x:f>
        <x:v>[12사탐03-02]</x:v>
      </x:c>
      <x:c r="D198" s="5" t="str">
        <x:f>MID(H198,SEARCH("]",H198)+1,200)</x:f>
        <x:v>인공지능 발전 과정에서 나타날 수 있는 다양한 사회문제를 탐색하고,대응 방안을 제시한다.</x:v>
      </x:c>
      <x:c r="E198" s="3"/>
      <x:c r="F198" s="3"/>
      <x:c r="G198" s="3"/>
      <x:c r="H198" s="8" t="s">
        <x:v>135</x:v>
      </x:c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</x:row>
    <x:row r="199" spans="1:24" ht="32.75">
      <x:c r="A199" t="s">
        <x:v>663</x:v>
      </x:c>
      <x:c r="B199" t="s">
        <x:v>659</x:v>
      </x:c>
      <x:c r="C199" s="6" t="str">
        <x:f>LEFT(H199,SEARCH("]",H199))</x:f>
        <x:v>[12사탐04-01]</x:v>
      </x:c>
      <x:c r="D199" s="5" t="str">
        <x:f>MID(H199,SEARCH("]",H199)+1,200)</x:f>
        <x:v>일상생활에서 경험하는 사회문제 중 하나를 선정하여 해당 문제에 대한 다양한 관점을비교하고,이를 바탕으로 문제 해결을 위한 탐구 계획을 수립한다.</x:v>
      </x:c>
      <x:c r="E199" s="3"/>
      <x:c r="F199" s="3"/>
      <x:c r="G199" s="3"/>
      <x:c r="H199" s="9" t="s">
        <x:v>342</x:v>
      </x:c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3"/>
      <x:c r="V199" s="3"/>
      <x:c r="W199" s="3"/>
      <x:c r="X199" s="3"/>
    </x:row>
    <x:row r="200" spans="1:24" ht="32.75">
      <x:c r="A200" t="s">
        <x:v>663</x:v>
      </x:c>
      <x:c r="B200" t="s">
        <x:v>659</x:v>
      </x:c>
      <x:c r="C200" s="6" t="str">
        <x:f>LEFT(H200,SEARCH("]",H200))</x:f>
        <x:v>[12사탐04-02]</x:v>
      </x:c>
      <x:c r="D200" s="5" t="str">
        <x:f>MID(H200,SEARCH("]",H200)+1,200)</x:f>
        <x:v>탐구 계획에 적합한 자료 수집 방법을 적용하여 자신이 선정한 사회문제에 관한 자료를수집한다.</x:v>
      </x:c>
      <x:c r="E200" s="3"/>
      <x:c r="F200" s="3"/>
      <x:c r="G200" s="3"/>
      <x:c r="H200" s="8" t="s">
        <x:v>382</x:v>
      </x:c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3"/>
      <x:c r="V200" s="3"/>
      <x:c r="W200" s="3"/>
      <x:c r="X200" s="3"/>
    </x:row>
    <x:row r="201" spans="1:24">
      <x:c r="A201" t="s">
        <x:v>663</x:v>
      </x:c>
      <x:c r="B201" t="s">
        <x:v>659</x:v>
      </x:c>
      <x:c r="C201" s="6" t="str">
        <x:f>LEFT(H201,SEARCH("]",H201))</x:f>
        <x:v>[12사탐04-03]</x:v>
      </x:c>
      <x:c r="D201" s="5" t="str">
        <x:f>MID(H201,SEARCH("]",H201)+1,200)</x:f>
        <x:v>수집한 자료에 대한 분석과 해석을 토대로 사회문제에 대한 해결 방안을 제시한다.</x:v>
      </x:c>
      <x:c r="E201" s="3"/>
      <x:c r="F201" s="3"/>
      <x:c r="G201" s="3"/>
      <x:c r="H201" s="8" t="s">
        <x:v>494</x:v>
      </x:c>
      <x:c r="I201" s="7"/>
      <x:c r="J201" s="7"/>
      <x:c r="K201" s="7"/>
      <x:c r="L201" s="7"/>
      <x:c r="M201" s="7"/>
      <x:c r="N201" s="7"/>
      <x:c r="O201" s="7"/>
      <x:c r="P201" s="7"/>
      <x:c r="Q201" s="7"/>
      <x:c r="R201" s="7"/>
      <x:c r="S201" s="7"/>
      <x:c r="T201" s="7"/>
      <x:c r="U201" s="3"/>
      <x:c r="V201" s="3"/>
      <x:c r="W201" s="3"/>
      <x:c r="X201" s="3"/>
    </x:row>
    <x:row r="202" spans="1:24" ht="49.14999999999999857891">
      <x:c r="A202" t="s">
        <x:v>663</x:v>
      </x:c>
      <x:c r="B202" t="s">
        <x:v>659</x:v>
      </x:c>
      <x:c r="C202" s="6" t="str">
        <x:f>LEFT(H202,SEARCH("]",H202))</x:f>
        <x:v>[12사탐04-04]</x:v>
      </x:c>
      <x:c r="D202" s="5" t="str">
        <x:f>MID(H202,SEARCH("]",H202)+1,200)</x:f>
        <x:v>자신의 사회문제 탐구 과정과 결과를 연구 보고서로 작성하여 발표하고,사회문제 해결을 위한 참여는 사회 구성원으로서의 권리이자 의무라는 점을 인식하며 해결 방안을적극적으로 실천한다.</x:v>
      </x:c>
      <x:c r="E202" s="3"/>
      <x:c r="F202" s="3"/>
      <x:c r="G202" s="3"/>
      <x:c r="H202" s="9" t="s">
        <x:v>674</x:v>
      </x:c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3"/>
      <x:c r="V202" s="3"/>
      <x:c r="W202" s="3"/>
      <x:c r="X202" s="3"/>
    </x:row>
    <x:row r="203" spans="1:24" ht="32.75">
      <x:c r="A203" t="s">
        <x:v>663</x:v>
      </x:c>
      <x:c r="B203" t="s">
        <x:v>653</x:v>
      </x:c>
      <x:c r="C203" s="6" t="str">
        <x:f>LEFT(H203,SEARCH("]",H203))</x:f>
        <x:v>[12금융01-01]</x:v>
      </x:c>
      <x:c r="D203" s="5" t="str">
        <x:f>MID(H203,SEARCH("]",H203)+1,200)</x:f>
        <x:v>행복하고 안전한 금융 생활에 필요한 금융 정보를 탐색하고 평가하며,단기와 장기의 관점을 고려하여 합리적인 금융 의사 결정을 한다.</x:v>
      </x:c>
      <x:c r="E203" s="3"/>
      <x:c r="F203" s="3"/>
      <x:c r="G203" s="3"/>
      <x:c r="H203" s="8" t="s">
        <x:v>681</x:v>
      </x:c>
      <x:c r="I203" s="7"/>
      <x:c r="J203" s="7"/>
      <x:c r="K203" s="7"/>
      <x:c r="L203" s="7"/>
      <x:c r="M203" s="7"/>
      <x:c r="N203" s="7"/>
      <x:c r="O203" s="7"/>
      <x:c r="P203" s="7"/>
      <x:c r="Q203" s="7"/>
      <x:c r="R203" s="7"/>
      <x:c r="S203" s="7"/>
      <x:c r="T203" s="7"/>
      <x:c r="U203" s="3"/>
      <x:c r="V203" s="3"/>
      <x:c r="W203" s="3"/>
      <x:c r="X203" s="3"/>
    </x:row>
    <x:row r="204" spans="1:24" ht="32.75">
      <x:c r="A204" t="s">
        <x:v>663</x:v>
      </x:c>
      <x:c r="B204" t="s">
        <x:v>653</x:v>
      </x:c>
      <x:c r="C204" s="6" t="str">
        <x:f>LEFT(H204,SEARCH("]",H204))</x:f>
        <x:v>[12금융01-02]</x:v>
      </x:c>
      <x:c r="D204" s="5" t="str">
        <x:f>MID(H204,SEARCH("]",H204)+1,200)</x:f>
        <x:v>디지털 금융 환경에서 나타난 금융 서비스의 변화된 특징을 이해하고 디지털 금융 서비스를 효과적으로 이용한다.</x:v>
      </x:c>
      <x:c r="E204" s="3"/>
      <x:c r="F204" s="3"/>
      <x:c r="G204" s="3"/>
      <x:c r="H204" s="8" t="s">
        <x:v>455</x:v>
      </x:c>
      <x:c r="I204" s="7"/>
      <x:c r="J204" s="7"/>
      <x:c r="K204" s="7"/>
      <x:c r="L204" s="7"/>
      <x:c r="M204" s="7"/>
      <x:c r="N204" s="7"/>
      <x:c r="O204" s="7"/>
      <x:c r="P204" s="7"/>
      <x:c r="Q204" s="7"/>
      <x:c r="R204" s="7"/>
      <x:c r="S204" s="7"/>
      <x:c r="T204" s="7"/>
      <x:c r="U204" s="3"/>
      <x:c r="V204" s="3"/>
      <x:c r="W204" s="3"/>
      <x:c r="X204" s="3"/>
    </x:row>
    <x:row r="205" spans="1:24" ht="32.75">
      <x:c r="A205" t="s">
        <x:v>663</x:v>
      </x:c>
      <x:c r="B205" t="s">
        <x:v>653</x:v>
      </x:c>
      <x:c r="C205" s="6" t="str">
        <x:f>LEFT(H205,SEARCH("]",H205))</x:f>
        <x:v>[12금융01-03]</x:v>
      </x:c>
      <x:c r="D205" s="5" t="str">
        <x:f>MID(H205,SEARCH("]",H205)+1,200)</x:f>
        <x:v>안전한 금융 거래를 위한 계약(약관)의 중요성을 인식하고,금융 사기 예방과 피해 구제를 위해 마련된 주요 금융 소비자 보호 제도를 탐구한다.</x:v>
      </x:c>
      <x:c r="E205" s="3"/>
      <x:c r="F205" s="3"/>
      <x:c r="G205" s="3"/>
      <x:c r="H205" s="9" t="s">
        <x:v>341</x:v>
      </x:c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3"/>
      <x:c r="V205" s="3"/>
      <x:c r="W205" s="3"/>
      <x:c r="X205" s="3"/>
    </x:row>
    <x:row r="206" spans="1:24">
      <x:c r="A206" t="s">
        <x:v>663</x:v>
      </x:c>
      <x:c r="B206" t="s">
        <x:v>653</x:v>
      </x:c>
      <x:c r="C206" s="6" t="str">
        <x:f>LEFT(H206,SEARCH("]",H206))</x:f>
        <x:v>[12금융02-01]</x:v>
      </x:c>
      <x:c r="D206" s="5" t="str">
        <x:f>MID(H206,SEARCH("]",H206)+1,200)</x:f>
        <x:v>소득이 수입의 주요 원천임을 이해하고 소득에 영향을 미치는 다양한 요인을 탐구한다.</x:v>
      </x:c>
      <x:c r="E206" s="3"/>
      <x:c r="F206" s="3"/>
      <x:c r="G206" s="3"/>
      <x:c r="H206" s="8" t="s">
        <x:v>14</x:v>
      </x:c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</x:row>
    <x:row r="207" spans="1:24" ht="32.75">
      <x:c r="A207" t="s">
        <x:v>663</x:v>
      </x:c>
      <x:c r="B207" t="s">
        <x:v>653</x:v>
      </x:c>
      <x:c r="C207" s="6" t="str">
        <x:f>LEFT(H207,SEARCH("]",H207))</x:f>
        <x:v>[12금융02-02]</x:v>
      </x:c>
      <x:c r="D207" s="5" t="str">
        <x:f>MID(H207,SEARCH("]",H207)+1,200)</x:f>
        <x:v>소비 지출과 비소비 지출을 구분하고 지출에 영향을 미치는 요인을 파악하여 합리적인 소비를 실천한다.</x:v>
      </x:c>
      <x:c r="E207" s="3"/>
      <x:c r="F207" s="3"/>
      <x:c r="G207" s="3"/>
      <x:c r="H207" s="8" t="s">
        <x:v>240</x:v>
      </x:c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</x:row>
    <x:row r="208" spans="1:24" ht="32.75">
      <x:c r="A208" t="s">
        <x:v>663</x:v>
      </x:c>
      <x:c r="B208" t="s">
        <x:v>653</x:v>
      </x:c>
      <x:c r="C208" s="6" t="str">
        <x:f>LEFT(H208,SEARCH("]",H208))</x:f>
        <x:v>[12금융02-03]</x:v>
      </x:c>
      <x:c r="D208" s="5" t="str">
        <x:f>MID(H208,SEARCH("]",H208)+1,200)</x:f>
        <x:v>예산의 의미와 예산 관리 방법을 이해하고 자신의 금융 생활에서 예산을 수립⋅점검⋅평가한다.</x:v>
      </x:c>
      <x:c r="E208" s="3"/>
      <x:c r="F208" s="3"/>
      <x:c r="G208" s="3"/>
      <x:c r="H208" s="8" t="s">
        <x:v>46</x:v>
      </x:c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</x:row>
    <x:row r="209" spans="1:24" ht="32.75">
      <x:c r="A209" t="s">
        <x:v>663</x:v>
      </x:c>
      <x:c r="B209" t="s">
        <x:v>653</x:v>
      </x:c>
      <x:c r="C209" s="6" t="str">
        <x:f>LEFT(H209,SEARCH("]",H209))</x:f>
        <x:v>[12금융03-01]</x:v>
      </x:c>
      <x:c r="D209" s="5" t="str">
        <x:f>MID(H209,SEARCH("]",H209)+1,200)</x:f>
        <x:v>저축의 경제적 의의와 다양한 저축 상품의 특징을 이해하고 저축에 영향을 미치는 요인을 탐구한다.</x:v>
      </x:c>
      <x:c r="E209" s="3"/>
      <x:c r="F209" s="3"/>
      <x:c r="G209" s="3"/>
      <x:c r="H209" s="8" t="s">
        <x:v>239</x:v>
      </x:c>
      <x:c r="I209" s="7"/>
      <x:c r="J209" s="7"/>
      <x:c r="K209" s="7"/>
      <x:c r="L209" s="7"/>
      <x:c r="M209" s="7"/>
      <x:c r="N209" s="7"/>
      <x:c r="O209" s="7"/>
      <x:c r="P209" s="7"/>
      <x:c r="Q209" s="7"/>
      <x:c r="R209" s="7"/>
      <x:c r="S209" s="7"/>
      <x:c r="T209" s="7"/>
      <x:c r="U209" s="3"/>
      <x:c r="V209" s="3"/>
      <x:c r="W209" s="3"/>
      <x:c r="X209" s="3"/>
    </x:row>
    <x:row r="210" spans="1:24">
      <x:c r="A210" t="s">
        <x:v>663</x:v>
      </x:c>
      <x:c r="B210" t="s">
        <x:v>653</x:v>
      </x:c>
      <x:c r="C210" s="6" t="str">
        <x:f>LEFT(H210,SEARCH("]",H210))</x:f>
        <x:v>[12금융03-02]</x:v>
      </x:c>
      <x:c r="D210" s="5" t="str">
        <x:f>MID(H210,SEARCH("]",H210)+1,200)</x:f>
        <x:v>기본적인 금융 투자 상품의 종류와 특징을 이해하고 투자에 영향을 미치는 요인을 탐구한다.</x:v>
      </x:c>
      <x:c r="E210" s="3"/>
      <x:c r="F210" s="3"/>
      <x:c r="G210" s="3"/>
      <x:c r="H210" s="8" t="s">
        <x:v>63</x:v>
      </x:c>
      <x:c r="I210" s="7"/>
      <x:c r="J210" s="7"/>
      <x:c r="K210" s="7"/>
      <x:c r="L210" s="7"/>
      <x:c r="M210" s="7"/>
      <x:c r="N210" s="7"/>
      <x:c r="O210" s="7"/>
      <x:c r="P210" s="7"/>
      <x:c r="Q210" s="7"/>
      <x:c r="R210" s="7"/>
      <x:c r="S210" s="7"/>
      <x:c r="T210" s="7"/>
      <x:c r="U210" s="3"/>
      <x:c r="V210" s="3"/>
      <x:c r="W210" s="3"/>
      <x:c r="X210" s="3"/>
    </x:row>
    <x:row r="211" spans="1:24" ht="32.75">
      <x:c r="A211" t="s">
        <x:v>663</x:v>
      </x:c>
      <x:c r="B211" t="s">
        <x:v>653</x:v>
      </x:c>
      <x:c r="C211" s="6" t="str">
        <x:f>LEFT(H211,SEARCH("]",H211))</x:f>
        <x:v>[12금융03-03]</x:v>
      </x:c>
      <x:c r="D211" s="5" t="str">
        <x:f>MID(H211,SEARCH("]",H211)+1,200)</x:f>
        <x:v>저축과 투자의 장단점을 고려하여 자기 책임의 원칙에 따라 저축과 투자를 결정하며,활용할 수 있는 예금자 보호 제도와 투자자 보호 제도를 탐색한다.</x:v>
      </x:c>
      <x:c r="E211" s="3"/>
      <x:c r="F211" s="3"/>
      <x:c r="G211" s="3"/>
      <x:c r="H211" s="9" t="s">
        <x:v>102</x:v>
      </x:c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3"/>
      <x:c r="V211" s="3"/>
      <x:c r="W211" s="3"/>
      <x:c r="X211" s="3"/>
    </x:row>
    <x:row r="212" spans="1:24" ht="32.75">
      <x:c r="A212" t="s">
        <x:v>663</x:v>
      </x:c>
      <x:c r="B212" t="s">
        <x:v>653</x:v>
      </x:c>
      <x:c r="C212" s="6" t="str">
        <x:f>LEFT(H212,SEARCH("]",H212))</x:f>
        <x:v>[12금융04-01]</x:v>
      </x:c>
      <x:c r="D212" s="5" t="str">
        <x:f>MID(H212,SEARCH("]",H212)+1,200)</x:f>
        <x:v>신용 사용의 결과를 고려한 책임감 있는 신용 관리 태도를 기르고,신용에 영향을 미치는 요인을 파악하여 자신의 신용을 효과적으로 관리하는 방법을 탐구한다.</x:v>
      </x:c>
      <x:c r="E212" s="3"/>
      <x:c r="F212" s="3"/>
      <x:c r="G212" s="3"/>
      <x:c r="H212" s="9" t="s">
        <x:v>392</x:v>
      </x:c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3"/>
      <x:c r="V212" s="3"/>
      <x:c r="W212" s="3"/>
      <x:c r="X212" s="3"/>
    </x:row>
    <x:row r="213" spans="1:24" ht="32.75">
      <x:c r="A213" t="s">
        <x:v>663</x:v>
      </x:c>
      <x:c r="B213" t="s">
        <x:v>653</x:v>
      </x:c>
      <x:c r="C213" s="6" t="str">
        <x:f>LEFT(H213,SEARCH("]",H213))</x:f>
        <x:v>[12금융04-02]</x:v>
      </x:c>
      <x:c r="D213" s="5" t="str">
        <x:f>MID(H213,SEARCH("]",H213)+1,200)</x:f>
        <x:v>위험 관리의 필요성과 위험 관리 방법으로서 보험의 원리를 이해하고,주요 보험 상품의 특징을 비교한다.</x:v>
      </x:c>
      <x:c r="E213" s="3"/>
      <x:c r="F213" s="3"/>
      <x:c r="G213" s="3"/>
      <x:c r="H213" s="8" t="s">
        <x:v>237</x:v>
      </x:c>
      <x:c r="I213" s="7"/>
      <x:c r="J213" s="7"/>
      <x:c r="K213" s="7"/>
      <x:c r="L213" s="7"/>
      <x:c r="M213" s="7"/>
      <x:c r="N213" s="7"/>
      <x:c r="O213" s="7"/>
      <x:c r="P213" s="7"/>
      <x:c r="Q213" s="7"/>
      <x:c r="R213" s="7"/>
      <x:c r="S213" s="7"/>
      <x:c r="T213" s="7"/>
      <x:c r="U213" s="3"/>
      <x:c r="V213" s="3"/>
      <x:c r="W213" s="3"/>
      <x:c r="X213" s="3"/>
    </x:row>
    <x:row r="214" spans="1:24" ht="32.75">
      <x:c r="A214" t="s">
        <x:v>663</x:v>
      </x:c>
      <x:c r="B214" t="s">
        <x:v>653</x:v>
      </x:c>
      <x:c r="C214" s="6" t="str">
        <x:f>LEFT(H214,SEARCH("]",H214))</x:f>
        <x:v>[12금융04-03]</x:v>
      </x:c>
      <x:c r="D214" s="5" t="str">
        <x:f>MID(H214,SEARCH("]",H214)+1,200)</x:f>
        <x:v>고령 사회에서 노후 설계의 필요성을 이해하고,연금의 종류와 특징을 파악하여 안정적인 노후 대비 계획을 설계한다.</x:v>
      </x:c>
      <x:c r="E214" s="3"/>
      <x:c r="F214" s="3"/>
      <x:c r="G214" s="3"/>
      <x:c r="H214" s="8" t="s">
        <x:v>37</x:v>
      </x:c>
      <x:c r="I214" s="7"/>
      <x:c r="J214" s="7"/>
      <x:c r="K214" s="7"/>
      <x:c r="L214" s="7"/>
      <x:c r="M214" s="7"/>
      <x:c r="N214" s="7"/>
      <x:c r="O214" s="7"/>
      <x:c r="P214" s="7"/>
      <x:c r="Q214" s="7"/>
      <x:c r="R214" s="7"/>
      <x:c r="S214" s="7"/>
      <x:c r="T214" s="7"/>
      <x:c r="U214" s="3"/>
      <x:c r="V214" s="3"/>
      <x:c r="W214" s="3"/>
      <x:c r="X214" s="3"/>
    </x:row>
    <x:row r="215" spans="1:24" ht="32.75">
      <x:c r="A215" t="s">
        <x:v>663</x:v>
      </x:c>
      <x:c r="B215" t="s">
        <x:v>691</x:v>
      </x:c>
      <x:c r="C215" s="6" t="str">
        <x:f>LEFT(H215,SEARCH("]",H215))</x:f>
        <x:v>[12기지01-01]</x:v>
      </x:c>
      <x:c r="D215" s="5" t="str">
        <x:f>MID(H215,SEARCH("]",H215)+1,200)</x:f>
        <x:v>지구적 차원에서 나타나는 기후변화의 심각성을 사례를 통해 파악하고,기후변화를바라보는 관점의 다양성을 이해한다.</x:v>
      </x:c>
      <x:c r="E215" s="3"/>
      <x:c r="F215" s="3"/>
      <x:c r="G215" s="3"/>
      <x:c r="H215" s="8" t="s">
        <x:v>137</x:v>
      </x:c>
      <x:c r="I215" s="7"/>
      <x:c r="J215" s="7"/>
      <x:c r="K215" s="7"/>
      <x:c r="L215" s="7"/>
      <x:c r="M215" s="7"/>
      <x:c r="N215" s="7"/>
      <x:c r="O215" s="7"/>
      <x:c r="P215" s="7"/>
      <x:c r="Q215" s="7"/>
      <x:c r="R215" s="7"/>
      <x:c r="S215" s="7"/>
      <x:c r="T215" s="7"/>
      <x:c r="U215" s="3"/>
      <x:c r="V215" s="3"/>
      <x:c r="W215" s="3"/>
      <x:c r="X215" s="3"/>
    </x:row>
    <x:row r="216" spans="1:24" ht="32.75">
      <x:c r="A216" t="s">
        <x:v>663</x:v>
      </x:c>
      <x:c r="B216" t="s">
        <x:v>691</x:v>
      </x:c>
      <x:c r="C216" s="6" t="str">
        <x:f>LEFT(H216,SEARCH("]",H216))</x:f>
        <x:v>[12기지01-02]</x:v>
      </x:c>
      <x:c r="D216" s="5" t="str">
        <x:f>MID(H216,SEARCH("]",H216)+1,200)</x:f>
        <x:v>기후변화는 자연적 요인뿐만 아니라 인간의 다양한 활동 및 산업과 관련되어 있다는 점을 이해하고,탄소중립을 위한 사회 변화의 방향을 탐구한다.</x:v>
      </x:c>
      <x:c r="E216" s="3"/>
      <x:c r="F216" s="3"/>
      <x:c r="G216" s="3"/>
      <x:c r="H216" s="9" t="s">
        <x:v>331</x:v>
      </x:c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3"/>
      <x:c r="V216" s="3"/>
      <x:c r="W216" s="3"/>
      <x:c r="X216" s="3"/>
    </x:row>
    <x:row r="217" spans="1:24" ht="32.75">
      <x:c r="A217" t="s">
        <x:v>663</x:v>
      </x:c>
      <x:c r="B217" t="s">
        <x:v>691</x:v>
      </x:c>
      <x:c r="C217" s="6" t="str">
        <x:f>LEFT(H217,SEARCH("]",H217))</x:f>
        <x:v>[12기지02-01]</x:v>
      </x:c>
      <x:c r="D217" s="5" t="str">
        <x:f>MID(H217,SEARCH("]",H217)+1,200)</x:f>
        <x:v>세계 여러 지역에서 발생하고 있는 기후재난의 실제를 파악하고,이를 둘러싼 쟁점을 다양한 자료를 통하여 분석한다.</x:v>
      </x:c>
      <x:c r="E217" s="3"/>
      <x:c r="F217" s="3"/>
      <x:c r="G217" s="3"/>
      <x:c r="H217" s="8" t="s">
        <x:v>139</x:v>
      </x:c>
      <x:c r="I217" s="7"/>
      <x:c r="J217" s="7"/>
      <x:c r="K217" s="7"/>
      <x:c r="L217" s="7"/>
      <x:c r="M217" s="7"/>
      <x:c r="N217" s="7"/>
      <x:c r="O217" s="7"/>
      <x:c r="P217" s="7"/>
      <x:c r="Q217" s="7"/>
      <x:c r="R217" s="7"/>
      <x:c r="S217" s="7"/>
      <x:c r="T217" s="7"/>
      <x:c r="U217" s="3"/>
      <x:c r="V217" s="3"/>
      <x:c r="W217" s="3"/>
      <x:c r="X217" s="3"/>
    </x:row>
    <x:row r="218" spans="1:24" ht="32.75">
      <x:c r="A218" t="s">
        <x:v>663</x:v>
      </x:c>
      <x:c r="B218" t="s">
        <x:v>691</x:v>
      </x:c>
      <x:c r="C218" s="6" t="str">
        <x:f>LEFT(H218,SEARCH("]",H218))</x:f>
        <x:v>[12기지02-02]</x:v>
      </x:c>
      <x:c r="D218" s="5" t="str">
        <x:f>MID(H218,SEARCH("]",H218)+1,200)</x:f>
        <x:v>기후변화의 영향은 지리적 조건 및 사회적⋅경제적 조건에 따라 차별적으로 나타나고 있음을 이해하고,이와 관련한 쟁점과 사례를 조사한다.</x:v>
      </x:c>
      <x:c r="E218" s="3"/>
      <x:c r="F218" s="3"/>
      <x:c r="G218" s="3"/>
      <x:c r="H218" s="9" t="s">
        <x:v>486</x:v>
      </x:c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3"/>
      <x:c r="V218" s="3"/>
      <x:c r="W218" s="3"/>
      <x:c r="X218" s="3"/>
    </x:row>
    <x:row r="219" spans="1:24" ht="32.75">
      <x:c r="A219" t="s">
        <x:v>663</x:v>
      </x:c>
      <x:c r="B219" t="s">
        <x:v>691</x:v>
      </x:c>
      <x:c r="C219" s="6" t="str">
        <x:f>LEFT(H219,SEARCH("]",H219))</x:f>
        <x:v>[12기지02-03]</x:v>
      </x:c>
      <x:c r="D219" s="5" t="str">
        <x:f>MID(H219,SEARCH("]",H219)+1,200)</x:f>
        <x:v>기후정의의 관점에서 기후변화에 따른 불평등 문제의 해결 방안을 모색하고,기후변화에 대한 인간의 책임과 의무에 대해 성찰한다.</x:v>
      </x:c>
      <x:c r="E219" s="3"/>
      <x:c r="F219" s="3"/>
      <x:c r="G219" s="3"/>
      <x:c r="H219" s="8" t="s">
        <x:v>680</x:v>
      </x:c>
      <x:c r="I219" s="7"/>
      <x:c r="J219" s="7"/>
      <x:c r="K219" s="7"/>
      <x:c r="L219" s="7"/>
      <x:c r="M219" s="7"/>
      <x:c r="N219" s="7"/>
      <x:c r="O219" s="7"/>
      <x:c r="P219" s="7"/>
      <x:c r="Q219" s="7"/>
      <x:c r="R219" s="7"/>
      <x:c r="S219" s="7"/>
      <x:c r="T219" s="7"/>
      <x:c r="U219" s="3"/>
      <x:c r="V219" s="3"/>
      <x:c r="W219" s="3"/>
      <x:c r="X219" s="3"/>
    </x:row>
    <x:row r="220" spans="1:24" ht="32.75">
      <x:c r="A220" t="s">
        <x:v>663</x:v>
      </x:c>
      <x:c r="B220" t="s">
        <x:v>691</x:v>
      </x:c>
      <x:c r="C220" s="6" t="str">
        <x:f>LEFT(H220,SEARCH("]",H220))</x:f>
        <x:v>[12기지03-01]</x:v>
      </x:c>
      <x:c r="D220" s="5" t="str">
        <x:f>MID(H220,SEARCH("]",H220)+1,200)</x:f>
        <x:v>기후변화 대응을 위한 국제 사회의 협력과 시민사회의 노력 사례를 조사하고 기후변화를 둘러싼 이해당사자들의 서로 다른 입장과 가치를 비교한다.</x:v>
      </x:c>
      <x:c r="E220" s="3"/>
      <x:c r="F220" s="3"/>
      <x:c r="G220" s="3"/>
      <x:c r="H220" s="9" t="s">
        <x:v>343</x:v>
      </x:c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3"/>
      <x:c r="V220" s="3"/>
      <x:c r="W220" s="3"/>
      <x:c r="X220" s="3"/>
    </x:row>
    <x:row r="221" spans="1:24" ht="32.75">
      <x:c r="A221" t="s">
        <x:v>663</x:v>
      </x:c>
      <x:c r="B221" t="s">
        <x:v>691</x:v>
      </x:c>
      <x:c r="C221" s="6" t="str">
        <x:f>LEFT(H221,SEARCH("]",H221))</x:f>
        <x:v>[12기지03-02]</x:v>
      </x:c>
      <x:c r="D221" s="5" t="str">
        <x:f>MID(H221,SEARCH("]",H221)+1,200)</x:f>
        <x:v>기후변화 문제와 관련하여 국가 차원의 대응으로서 정치,사회,경제 영역에서의 생태전환을 위한 실천 사례를 조사하고,이를 분석 평가한다.</x:v>
      </x:c>
      <x:c r="E221" s="3"/>
      <x:c r="F221" s="3"/>
      <x:c r="G221" s="3"/>
      <x:c r="H221" s="9" t="s">
        <x:v>475</x:v>
      </x:c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3"/>
      <x:c r="V221" s="3"/>
      <x:c r="W221" s="3"/>
      <x:c r="X221" s="3"/>
    </x:row>
    <x:row r="222" spans="1:24" ht="32.75">
      <x:c r="A222" t="s">
        <x:v>663</x:v>
      </x:c>
      <x:c r="B222" t="s">
        <x:v>691</x:v>
      </x:c>
      <x:c r="C222" s="6" t="str">
        <x:f>LEFT(H222,SEARCH("]",H222))</x:f>
        <x:v>[12기지03-03]</x:v>
      </x:c>
      <x:c r="D222" s="5" t="str">
        <x:f>MID(H222,SEARCH("]",H222)+1,200)</x:f>
        <x:v>지역 공동체의 생태전환을 위한 다양한 노력 사례를 조사하고 지역의 지속가능한사회⋅생태 체계를 탐색한다.</x:v>
      </x:c>
      <x:c r="E222" s="3"/>
      <x:c r="F222" s="3"/>
      <x:c r="G222" s="3"/>
      <x:c r="H222" s="8" t="s">
        <x:v>432</x:v>
      </x:c>
      <x:c r="I222" s="7"/>
      <x:c r="J222" s="7"/>
      <x:c r="K222" s="7"/>
      <x:c r="L222" s="7"/>
      <x:c r="M222" s="7"/>
      <x:c r="N222" s="7"/>
      <x:c r="O222" s="7"/>
      <x:c r="P222" s="7"/>
      <x:c r="Q222" s="7"/>
      <x:c r="R222" s="7"/>
      <x:c r="S222" s="7"/>
      <x:c r="T222" s="7"/>
      <x:c r="U222" s="3"/>
      <x:c r="V222" s="3"/>
      <x:c r="W222" s="3"/>
      <x:c r="X222" s="3"/>
    </x:row>
    <x:row r="223" spans="1:24" ht="32.75">
      <x:c r="A223" t="s">
        <x:v>663</x:v>
      </x:c>
      <x:c r="B223" t="s">
        <x:v>691</x:v>
      </x:c>
      <x:c r="C223" s="6" t="str">
        <x:f>LEFT(H223,SEARCH("]",H223))</x:f>
        <x:v>[12기지03-04]</x:v>
      </x:c>
      <x:c r="D223" s="5" t="str">
        <x:f>MID(H223,SEARCH("]",H223)+1,200)</x:f>
        <x:v>기후변화에 대응하기 위한 적정기술과 순환경제의 역할의 중요성을 파악하고,에너지 전환의 중요성에 대한 이해를 바탕으로 지속가능한 세계의 모습을 제안한다.</x:v>
      </x:c>
      <x:c r="E223" s="3"/>
      <x:c r="F223" s="3"/>
      <x:c r="G223" s="3"/>
      <x:c r="H223" s="9" t="s">
        <x:v>101</x:v>
      </x:c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3"/>
      <x:c r="V223" s="3"/>
      <x:c r="W223" s="3"/>
      <x:c r="X223" s="3"/>
    </x:row>
    <x:row r="224" spans="1:24" ht="32.75">
      <x:c r="A224" t="s">
        <x:v>663</x:v>
      </x:c>
      <x:c r="B224" t="s">
        <x:v>691</x:v>
      </x:c>
      <x:c r="C224" s="6" t="str">
        <x:f>LEFT(H224,SEARCH("]",H224))</x:f>
        <x:v>[12기지04-01]</x:v>
      </x:c>
      <x:c r="D224" s="5" t="str">
        <x:f>MID(H224,SEARCH("]",H224)+1,200)</x:f>
        <x:v>지속가능발전목표(SDGs)의 의미를 이해하고,이의 실천과 관련한 지역 사례들을 조사하여 환경적,경제적,사회적 측면에서 통합적으로 분석한다.</x:v>
      </x:c>
      <x:c r="E224" s="3"/>
      <x:c r="F224" s="3"/>
      <x:c r="G224" s="3"/>
      <x:c r="H224" s="9" t="s">
        <x:v>340</x:v>
      </x:c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3"/>
      <x:c r="V224" s="3"/>
      <x:c r="W224" s="3"/>
      <x:c r="X224" s="3"/>
    </x:row>
    <x:row r="225" spans="1:24" ht="32.75">
      <x:c r="A225" t="s">
        <x:v>663</x:v>
      </x:c>
      <x:c r="B225" t="s">
        <x:v>691</x:v>
      </x:c>
      <x:c r="C225" s="6" t="str">
        <x:f>LEFT(H225,SEARCH("]",H225))</x:f>
        <x:v>[12기지04-02]</x:v>
      </x:c>
      <x:c r="D225" s="5" t="str">
        <x:f>MID(H225,SEARCH("]",H225)+1,200)</x:f>
        <x:v>지속가능한 세계는 개인의 일상생활 방식과 관련되어 있음을 이해하고,다양한 소비 영역에서 요구되는 지속가능한 생활방식을 탐색하고 실천 방안을 제안한다.</x:v>
      </x:c>
      <x:c r="E225" s="3"/>
      <x:c r="F225" s="3"/>
      <x:c r="G225" s="3"/>
      <x:c r="H225" s="9" t="s">
        <x:v>105</x:v>
      </x:c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3"/>
      <x:c r="V225" s="3"/>
      <x:c r="W225" s="3"/>
      <x:c r="X225" s="3"/>
    </x:row>
    <x:row r="226" spans="1:24" ht="49.14999999999999857891">
      <x:c r="A226" t="s">
        <x:v>663</x:v>
      </x:c>
      <x:c r="B226" t="s">
        <x:v>691</x:v>
      </x:c>
      <x:c r="C226" s="6" t="str">
        <x:f>LEFT(H226,SEARCH("]",H226))</x:f>
        <x:v>[12기지04-03]</x:v>
      </x:c>
      <x:c r="D226" s="5" t="str">
        <x:f>MID(H226,SEARCH("]",H226)+1,200)</x:f>
        <x:v>정의,책임 그리고 배려 등과 같은 생태시민의 덕목을 사례 탐구를 통해 이해하고,인간 및 비인간이 함께 평화롭게 살아가는 공존의 세계를 위한 다층적 스케일에서의 실천 방안을 찾아 적극적으로 참여한다.</x:v>
      </x:c>
      <x:c r="E226" s="3"/>
      <x:c r="F226" s="3"/>
      <x:c r="G226" s="3"/>
      <x:c r="H226" s="9" t="s">
        <x:v>24</x:v>
      </x:c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3"/>
      <x:c r="V226" s="3"/>
      <x:c r="W226" s="3"/>
      <x:c r="X226" s="3"/>
    </x:row>
    <x:row r="227" spans="3:24">
      <x:c r="C227" s="6" t="e">
        <x:f>LEFT(H227,SEARCH("]",H227))</x:f>
        <x:v>#VALUE!</x:v>
      </x:c>
      <x:c r="D227" s="5" t="e">
        <x:f>MID(H227,SEARCH("]",H227)+1,200)</x:f>
        <x:v>#VALUE!</x:v>
      </x:c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</x:row>
    <x:row r="228" spans="3:24">
      <x:c r="C228" s="6" t="e">
        <x:f>LEFT(H228,SEARCH("]",H228))</x:f>
        <x:v>#VALUE!</x:v>
      </x:c>
      <x:c r="D228" s="5" t="e">
        <x:f>MID(H228,SEARCH("]",H228)+1,200)</x:f>
        <x:v>#VALUE!</x:v>
      </x:c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</x:row>
    <x:row r="229" spans="3:24">
      <x:c r="C229" s="6" t="e">
        <x:f>LEFT(H229,SEARCH("]",H229))</x:f>
        <x:v>#VALUE!</x:v>
      </x:c>
      <x:c r="D229" s="5" t="e">
        <x:f>MID(H229,SEARCH("]",H229)+1,200)</x:f>
        <x:v>#VALUE!</x:v>
      </x:c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</x:row>
    <x:row r="230" spans="3:24">
      <x:c r="C230" s="6" t="e">
        <x:f>LEFT(H230,SEARCH("]",H230))</x:f>
        <x:v>#VALUE!</x:v>
      </x:c>
      <x:c r="D230" s="5" t="e">
        <x:f>MID(H230,SEARCH("]",H230)+1,200)</x:f>
        <x:v>#VALUE!</x:v>
      </x:c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</x:row>
    <x:row r="231" spans="3:24">
      <x:c r="C231" s="6" t="e">
        <x:f>LEFT(H231,SEARCH("]",H231))</x:f>
        <x:v>#VALUE!</x:v>
      </x:c>
      <x:c r="D231" s="5" t="e">
        <x:f>MID(H231,SEARCH("]",H231)+1,200)</x:f>
        <x:v>#VALUE!</x:v>
      </x:c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</x:row>
    <x:row r="232" spans="3:24">
      <x:c r="C232" s="6" t="e">
        <x:f>LEFT(H232,SEARCH("]",H232))</x:f>
        <x:v>#VALUE!</x:v>
      </x:c>
      <x:c r="D232" s="5" t="e">
        <x:f>MID(H232,SEARCH("]",H232)+1,200)</x:f>
        <x:v>#VALUE!</x:v>
      </x:c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</x:row>
    <x:row r="233" spans="3:24">
      <x:c r="C233" s="6" t="e">
        <x:f>LEFT(H233,SEARCH("]",H233))</x:f>
        <x:v>#VALUE!</x:v>
      </x:c>
      <x:c r="D233" s="5" t="e">
        <x:f>MID(H233,SEARCH("]",H233)+1,200)</x:f>
        <x:v>#VALUE!</x:v>
      </x:c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</x:row>
    <x:row r="234" spans="3:24">
      <x:c r="C234" s="6" t="e">
        <x:f>LEFT(H234,SEARCH("]",H234))</x:f>
        <x:v>#VALUE!</x:v>
      </x:c>
      <x:c r="D234" s="5" t="e">
        <x:f>MID(H234,SEARCH("]",H234)+1,200)</x:f>
        <x:v>#VALUE!</x:v>
      </x:c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</x:row>
    <x:row r="235" spans="3:24">
      <x:c r="C235" s="6" t="e">
        <x:f>LEFT(H235,SEARCH("]",H235))</x:f>
        <x:v>#VALUE!</x:v>
      </x:c>
      <x:c r="D235" s="5" t="e">
        <x:f>MID(H235,SEARCH("]",H235)+1,200)</x:f>
        <x:v>#VALUE!</x:v>
      </x:c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</x:row>
    <x:row r="236" spans="3:24">
      <x:c r="C236" s="6" t="e">
        <x:f>LEFT(H236,SEARCH("]",H236))</x:f>
        <x:v>#VALUE!</x:v>
      </x:c>
      <x:c r="D236" s="5" t="e">
        <x:f>MID(H236,SEARCH("]",H236)+1,200)</x:f>
        <x:v>#VALUE!</x:v>
      </x:c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</x:row>
    <x:row r="237" spans="3:24">
      <x:c r="C237" s="6" t="e">
        <x:f>LEFT(H237,SEARCH("]",H237))</x:f>
        <x:v>#VALUE!</x:v>
      </x:c>
      <x:c r="D237" s="5" t="e">
        <x:f>MID(H237,SEARCH("]",H237)+1,200)</x:f>
        <x:v>#VALUE!</x:v>
      </x:c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</x:row>
    <x:row r="238" spans="3:24">
      <x:c r="C238" s="6" t="e">
        <x:f>LEFT(H238,SEARCH("]",H238))</x:f>
        <x:v>#VALUE!</x:v>
      </x:c>
      <x:c r="D238" s="5" t="e">
        <x:f>MID(H238,SEARCH("]",H238)+1,200)</x:f>
        <x:v>#VALUE!</x:v>
      </x:c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</x:row>
    <x:row r="239" spans="3:24">
      <x:c r="C239" s="6" t="e">
        <x:f>LEFT(H239,SEARCH("]",H239))</x:f>
        <x:v>#VALUE!</x:v>
      </x:c>
      <x:c r="D239" s="5" t="e">
        <x:f>MID(H239,SEARCH("]",H239)+1,200)</x:f>
        <x:v>#VALUE!</x:v>
      </x:c>
      <x:c r="E239" s="1"/>
      <x:c r="F239" s="1"/>
      <x:c r="G239" s="1"/>
      <x:c r="H239" s="3"/>
      <x:c r="I239" s="1"/>
      <x:c r="J239" s="1"/>
      <x:c r="K239" s="1"/>
      <x:c r="L239" s="3"/>
      <x:c r="M239" s="3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</x:row>
    <x:row r="240" spans="3:24">
      <x:c r="C240" s="6" t="e">
        <x:f>LEFT(H240,SEARCH("]",H240))</x:f>
        <x:v>#VALUE!</x:v>
      </x:c>
      <x:c r="D240" s="5" t="e">
        <x:f>MID(H240,SEARCH("]",H240)+1,200)</x:f>
        <x:v>#VALUE!</x:v>
      </x:c>
      <x:c r="E240" s="1"/>
      <x:c r="F240" s="1"/>
      <x:c r="G240" s="1"/>
      <x:c r="H240" s="3"/>
      <x:c r="I240" s="1"/>
      <x:c r="J240" s="1"/>
      <x:c r="K240" s="1"/>
      <x:c r="L240" s="3"/>
      <x:c r="M240" s="3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</x:row>
    <x:row r="241" spans="3:24">
      <x:c r="C241" s="6" t="e">
        <x:f>LEFT(H241,SEARCH("]",H241))</x:f>
        <x:v>#VALUE!</x:v>
      </x:c>
      <x:c r="D241" s="5" t="e">
        <x:f>MID(H241,SEARCH("]",H241)+1,200)</x:f>
        <x:v>#VALUE!</x:v>
      </x:c>
      <x:c r="E241" s="1"/>
      <x:c r="F241" s="1"/>
      <x:c r="G241" s="1"/>
      <x:c r="H241" s="3"/>
      <x:c r="I241" s="1"/>
      <x:c r="J241" s="1"/>
      <x:c r="K241" s="1"/>
      <x:c r="L241" s="3"/>
      <x:c r="M241" s="3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</x:row>
    <x:row r="242" spans="3:24">
      <x:c r="C242" s="6" t="e">
        <x:f>LEFT(H242,SEARCH("]",H242))</x:f>
        <x:v>#VALUE!</x:v>
      </x:c>
      <x:c r="D242" s="5" t="e">
        <x:f>MID(H242,SEARCH("]",H242)+1,200)</x:f>
        <x:v>#VALUE!</x:v>
      </x:c>
      <x:c r="E242" s="1"/>
      <x:c r="F242" s="1"/>
      <x:c r="G242" s="1"/>
      <x:c r="H242" s="3"/>
      <x:c r="I242" s="1"/>
      <x:c r="J242" s="1"/>
      <x:c r="K242" s="1"/>
      <x:c r="L242" s="3"/>
      <x:c r="M242" s="3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</x:row>
    <x:row r="243" spans="3:24">
      <x:c r="C243" s="6" t="e">
        <x:f>LEFT(H243,SEARCH("]",H243))</x:f>
        <x:v>#VALUE!</x:v>
      </x:c>
      <x:c r="D243" s="5" t="e">
        <x:f>MID(H243,SEARCH("]",H243)+1,200)</x:f>
        <x:v>#VALUE!</x:v>
      </x:c>
      <x:c r="E243" s="1"/>
      <x:c r="F243" s="1"/>
      <x:c r="G243" s="1"/>
      <x:c r="H243" s="3"/>
      <x:c r="I243" s="1"/>
      <x:c r="J243" s="1"/>
      <x:c r="K243" s="1"/>
      <x:c r="L243" s="3"/>
      <x:c r="M243" s="3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</x:row>
    <x:row r="244" spans="3:24">
      <x:c r="C244" s="6" t="e">
        <x:f>LEFT(H244,SEARCH("]",H244))</x:f>
        <x:v>#VALUE!</x:v>
      </x:c>
      <x:c r="D244" s="5" t="e">
        <x:f>MID(H244,SEARCH("]",H244)+1,200)</x:f>
        <x:v>#VALUE!</x:v>
      </x:c>
      <x:c r="E244" s="1"/>
      <x:c r="F244" s="1"/>
      <x:c r="G244" s="1"/>
      <x:c r="H244" s="3"/>
      <x:c r="I244" s="1"/>
      <x:c r="J244" s="1"/>
      <x:c r="K244" s="1"/>
      <x:c r="L244" s="3"/>
      <x:c r="M244" s="3"/>
      <x:c r="N244" s="1"/>
      <x:c r="O244" s="1"/>
      <x:c r="P244" s="1"/>
      <x:c r="Q244" s="1"/>
      <x:c r="R244" s="1"/>
      <x:c r="S244" s="3"/>
      <x:c r="T244" s="3"/>
      <x:c r="U244" s="3"/>
      <x:c r="V244" s="3"/>
      <x:c r="W244" s="3"/>
      <x:c r="X244" s="3"/>
    </x:row>
    <x:row r="245" spans="3:24">
      <x:c r="C245" s="6" t="e">
        <x:f>LEFT(H245,SEARCH("]",H245))</x:f>
        <x:v>#VALUE!</x:v>
      </x:c>
      <x:c r="D245" s="5" t="e">
        <x:f>MID(H245,SEARCH("]",H245)+1,200)</x:f>
        <x:v>#VALUE!</x:v>
      </x:c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</x:row>
    <x:row r="246" spans="3:24">
      <x:c r="C246" s="6" t="e">
        <x:f>LEFT(H246,SEARCH("]",H246))</x:f>
        <x:v>#VALUE!</x:v>
      </x:c>
      <x:c r="D246" s="5" t="e">
        <x:f>MID(H246,SEARCH("]",H246)+1,200)</x:f>
        <x:v>#VALUE!</x:v>
      </x:c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</x:row>
    <x:row r="247" spans="3:24">
      <x:c r="C247" s="6" t="e">
        <x:f>LEFT(H247,SEARCH("]",H247))</x:f>
        <x:v>#VALUE!</x:v>
      </x:c>
      <x:c r="D247" s="5" t="e">
        <x:f>MID(H247,SEARCH("]",H247)+1,200)</x:f>
        <x:v>#VALUE!</x:v>
      </x:c>
      <x:c r="E247" s="1"/>
      <x:c r="F247" s="1"/>
      <x:c r="G247" s="1"/>
      <x:c r="H247" s="3"/>
      <x:c r="I247" s="1"/>
      <x:c r="J247" s="1"/>
      <x:c r="K247" s="1"/>
      <x:c r="L247" s="3"/>
      <x:c r="M247" s="3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</x:row>
    <x:row r="248" spans="3:24">
      <x:c r="C248" s="6" t="e">
        <x:f>LEFT(H248,SEARCH("]",H248))</x:f>
        <x:v>#VALUE!</x:v>
      </x:c>
      <x:c r="D248" s="5" t="e">
        <x:f>MID(H248,SEARCH("]",H248)+1,200)</x:f>
        <x:v>#VALUE!</x:v>
      </x:c>
      <x:c r="E248" s="1"/>
      <x:c r="F248" s="1"/>
      <x:c r="G248" s="1"/>
      <x:c r="H248" s="3"/>
      <x:c r="I248" s="1"/>
      <x:c r="J248" s="1"/>
      <x:c r="K248" s="1"/>
      <x:c r="L248" s="3"/>
      <x:c r="M248" s="3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</x:row>
    <x:row r="249" spans="3:24">
      <x:c r="C249" s="6" t="e">
        <x:f>LEFT(H249,SEARCH("]",H249))</x:f>
        <x:v>#VALUE!</x:v>
      </x:c>
      <x:c r="D249" s="5" t="e">
        <x:f>MID(H249,SEARCH("]",H249)+1,200)</x:f>
        <x:v>#VALUE!</x:v>
      </x:c>
      <x:c r="E249" s="1"/>
      <x:c r="F249" s="1"/>
      <x:c r="G249" s="1"/>
      <x:c r="H249" s="3"/>
      <x:c r="I249" s="1"/>
      <x:c r="J249" s="1"/>
      <x:c r="K249" s="1"/>
      <x:c r="L249" s="3"/>
      <x:c r="M249" s="3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</x:row>
    <x:row r="250" spans="3:24">
      <x:c r="C250" s="6" t="e">
        <x:f>LEFT(H250,SEARCH("]",H250))</x:f>
        <x:v>#VALUE!</x:v>
      </x:c>
      <x:c r="D250" s="5" t="e">
        <x:f>MID(H250,SEARCH("]",H250)+1,200)</x:f>
        <x:v>#VALUE!</x:v>
      </x:c>
      <x:c r="E250" s="1"/>
      <x:c r="F250" s="1"/>
      <x:c r="G250" s="1"/>
      <x:c r="H250" s="3"/>
      <x:c r="I250" s="1"/>
      <x:c r="J250" s="1"/>
      <x:c r="K250" s="1"/>
      <x:c r="L250" s="3"/>
      <x:c r="M250" s="3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</x:row>
    <x:row r="251" spans="3:24">
      <x:c r="C251" s="6" t="e">
        <x:f>LEFT(H251,SEARCH("]",H251))</x:f>
        <x:v>#VALUE!</x:v>
      </x:c>
      <x:c r="D251" s="5" t="e">
        <x:f>MID(H251,SEARCH("]",H251)+1,200)</x:f>
        <x:v>#VALUE!</x:v>
      </x:c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</x:row>
    <x:row r="252" spans="3:24">
      <x:c r="C252" s="6" t="e">
        <x:f>LEFT(H252,SEARCH("]",H252))</x:f>
        <x:v>#VALUE!</x:v>
      </x:c>
      <x:c r="D252" s="5" t="e">
        <x:f>MID(H252,SEARCH("]",H252)+1,200)</x:f>
        <x:v>#VALUE!</x:v>
      </x:c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</x:row>
    <x:row r="253" spans="3:24">
      <x:c r="C253" s="6" t="e">
        <x:f>LEFT(H253,SEARCH("]",H253))</x:f>
        <x:v>#VALUE!</x:v>
      </x:c>
      <x:c r="D253" s="5" t="e">
        <x:f>MID(H253,SEARCH("]",H253)+1,200)</x:f>
        <x:v>#VALUE!</x:v>
      </x:c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</x:row>
    <x:row r="254" spans="3:24">
      <x:c r="C254" s="6" t="e">
        <x:f>LEFT(H254,SEARCH("]",H254))</x:f>
        <x:v>#VALUE!</x:v>
      </x:c>
      <x:c r="D254" s="5" t="e">
        <x:f>MID(H254,SEARCH("]",H254)+1,200)</x:f>
        <x:v>#VALUE!</x:v>
      </x:c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</x:row>
    <x:row r="255" spans="3:24">
      <x:c r="C255" s="6" t="e">
        <x:f>LEFT(H255,SEARCH("]",H255))</x:f>
        <x:v>#VALUE!</x:v>
      </x:c>
      <x:c r="D255" s="5" t="e">
        <x:f>MID(H255,SEARCH("]",H255)+1,200)</x:f>
        <x:v>#VALUE!</x:v>
      </x:c>
      <x:c r="E255" s="1"/>
      <x:c r="F255" s="1"/>
      <x:c r="G255" s="1"/>
      <x:c r="H255" s="3"/>
      <x:c r="I255" s="1"/>
      <x:c r="J255" s="1"/>
      <x:c r="K255" s="1"/>
      <x:c r="L255" s="3"/>
      <x:c r="M255" s="3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</x:row>
    <x:row r="256" spans="3:24">
      <x:c r="C256" s="6" t="e">
        <x:f>LEFT(H256,SEARCH("]",H256))</x:f>
        <x:v>#VALUE!</x:v>
      </x:c>
      <x:c r="D256" s="5" t="e">
        <x:f>MID(H256,SEARCH("]",H256)+1,200)</x:f>
        <x:v>#VALUE!</x:v>
      </x:c>
      <x:c r="E256" s="1"/>
      <x:c r="F256" s="1"/>
      <x:c r="G256" s="1"/>
      <x:c r="H256" s="3"/>
      <x:c r="I256" s="1"/>
      <x:c r="J256" s="1"/>
      <x:c r="K256" s="1"/>
      <x:c r="L256" s="3"/>
      <x:c r="M256" s="3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</x:row>
    <x:row r="257" spans="3:24">
      <x:c r="C257" s="6" t="e">
        <x:f>LEFT(H257,SEARCH("]",H257))</x:f>
        <x:v>#VALUE!</x:v>
      </x:c>
      <x:c r="D257" s="5" t="e">
        <x:f>MID(H257,SEARCH("]",H257)+1,200)</x:f>
        <x:v>#VALUE!</x:v>
      </x:c>
      <x:c r="E257" s="1"/>
      <x:c r="F257" s="1"/>
      <x:c r="G257" s="1"/>
      <x:c r="H257" s="3"/>
      <x:c r="I257" s="1"/>
      <x:c r="J257" s="1"/>
      <x:c r="K257" s="1"/>
      <x:c r="L257" s="3"/>
      <x:c r="M257" s="3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</x:row>
    <x:row r="258" spans="3:24">
      <x:c r="C258" s="6" t="e">
        <x:f>LEFT(H258,SEARCH("]",H258))</x:f>
        <x:v>#VALUE!</x:v>
      </x:c>
      <x:c r="D258" s="5" t="e">
        <x:f>MID(H258,SEARCH("]",H258)+1,200)</x:f>
        <x:v>#VALUE!</x:v>
      </x:c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</x:row>
    <x:row r="259" spans="3:24">
      <x:c r="C259" s="6" t="e">
        <x:f>LEFT(H259,SEARCH("]",H259))</x:f>
        <x:v>#VALUE!</x:v>
      </x:c>
      <x:c r="D259" s="5" t="e">
        <x:f>MID(H259,SEARCH("]",H259)+1,200)</x:f>
        <x:v>#VALUE!</x:v>
      </x:c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</x:row>
    <x:row r="260" spans="3:24">
      <x:c r="C260" s="6" t="e">
        <x:f>LEFT(H260,SEARCH("]",H260))</x:f>
        <x:v>#VALUE!</x:v>
      </x:c>
      <x:c r="D260" s="5" t="e">
        <x:f>MID(H260,SEARCH("]",H260)+1,200)</x:f>
        <x:v>#VALUE!</x:v>
      </x:c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</x:row>
    <x:row r="261" spans="3:24">
      <x:c r="C261" s="6" t="e">
        <x:f>LEFT(H261,SEARCH("]",H261))</x:f>
        <x:v>#VALUE!</x:v>
      </x:c>
      <x:c r="D261" s="5" t="e">
        <x:f>MID(H261,SEARCH("]",H261)+1,200)</x:f>
        <x:v>#VALUE!</x:v>
      </x:c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</x:row>
    <x:row r="262" spans="3:24">
      <x:c r="C262" s="6" t="e">
        <x:f>LEFT(H262,SEARCH("]",H262))</x:f>
        <x:v>#VALUE!</x:v>
      </x:c>
      <x:c r="D262" s="5" t="e">
        <x:f>MID(H262,SEARCH("]",H262)+1,200)</x:f>
        <x:v>#VALUE!</x:v>
      </x:c>
      <x:c r="E262" s="1"/>
      <x:c r="F262" s="1"/>
      <x:c r="G262" s="1"/>
      <x:c r="H262" s="3"/>
      <x:c r="I262" s="1"/>
      <x:c r="J262" s="1"/>
      <x:c r="K262" s="1"/>
      <x:c r="L262" s="3"/>
      <x:c r="M262" s="3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</x:row>
    <x:row r="263" spans="3:24">
      <x:c r="C263" s="6" t="e">
        <x:f>LEFT(H263,SEARCH("]",H263))</x:f>
        <x:v>#VALUE!</x:v>
      </x:c>
      <x:c r="D263" s="5" t="e">
        <x:f>MID(H263,SEARCH("]",H263)+1,200)</x:f>
        <x:v>#VALUE!</x:v>
      </x:c>
      <x:c r="E263" s="1"/>
      <x:c r="F263" s="1"/>
      <x:c r="G263" s="1"/>
      <x:c r="H263" s="3"/>
      <x:c r="I263" s="1"/>
      <x:c r="J263" s="1"/>
      <x:c r="K263" s="1"/>
      <x:c r="L263" s="3"/>
      <x:c r="M263" s="3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</x:row>
    <x:row r="264" spans="3:24">
      <x:c r="C264" s="6" t="e">
        <x:f>LEFT(H264,SEARCH("]",H264))</x:f>
        <x:v>#VALUE!</x:v>
      </x:c>
      <x:c r="D264" s="5" t="e">
        <x:f>MID(H264,SEARCH("]",H264)+1,200)</x:f>
        <x:v>#VALUE!</x:v>
      </x:c>
      <x:c r="E264" s="1"/>
      <x:c r="F264" s="1"/>
      <x:c r="G264" s="1"/>
      <x:c r="H264" s="3"/>
      <x:c r="I264" s="1"/>
      <x:c r="J264" s="1"/>
      <x:c r="K264" s="1"/>
      <x:c r="L264" s="3"/>
      <x:c r="M264" s="3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</x:row>
    <x:row r="265" spans="3:24">
      <x:c r="C265" s="6" t="e">
        <x:f>LEFT(H265,SEARCH("]",H265))</x:f>
        <x:v>#VALUE!</x:v>
      </x:c>
      <x:c r="D265" s="5" t="e">
        <x:f>MID(H265,SEARCH("]",H265)+1,200)</x:f>
        <x:v>#VALUE!</x:v>
      </x:c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</x:row>
    <x:row r="266" spans="3:24">
      <x:c r="C266" s="6" t="e">
        <x:f>LEFT(H266,SEARCH("]",H266))</x:f>
        <x:v>#VALUE!</x:v>
      </x:c>
      <x:c r="D266" s="5" t="e">
        <x:f>MID(H266,SEARCH("]",H266)+1,200)</x:f>
        <x:v>#VALUE!</x:v>
      </x:c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</x:row>
    <x:row r="267" spans="3:24">
      <x:c r="C267" s="6" t="e">
        <x:f>LEFT(H267,SEARCH("]",H267))</x:f>
        <x:v>#VALUE!</x:v>
      </x:c>
      <x:c r="D267" s="5" t="e">
        <x:f>MID(H267,SEARCH("]",H267)+1,200)</x:f>
        <x:v>#VALUE!</x:v>
      </x:c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</x:row>
    <x:row r="268" spans="3:24">
      <x:c r="C268" s="6" t="e">
        <x:f>LEFT(H268,SEARCH("]",H268))</x:f>
        <x:v>#VALUE!</x:v>
      </x:c>
      <x:c r="D268" s="5" t="e">
        <x:f>MID(H268,SEARCH("]",H268)+1,200)</x:f>
        <x:v>#VALUE!</x:v>
      </x:c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</x:row>
    <x:row r="269" spans="3:24">
      <x:c r="C269" s="6" t="e">
        <x:f>LEFT(H269,SEARCH("]",H269))</x:f>
        <x:v>#VALUE!</x:v>
      </x:c>
      <x:c r="D269" s="5" t="e">
        <x:f>MID(H269,SEARCH("]",H269)+1,200)</x:f>
        <x:v>#VALUE!</x:v>
      </x:c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</x:row>
    <x:row r="270" spans="3:24">
      <x:c r="C270" s="6" t="e">
        <x:f>LEFT(H270,SEARCH("]",H270))</x:f>
        <x:v>#VALUE!</x:v>
      </x:c>
      <x:c r="D270" s="5" t="e">
        <x:f>MID(H270,SEARCH("]",H270)+1,200)</x:f>
        <x:v>#VALUE!</x:v>
      </x:c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</x:row>
    <x:row r="271" spans="3:24">
      <x:c r="C271" s="6" t="e">
        <x:f>LEFT(H271,SEARCH("]",H271))</x:f>
        <x:v>#VALUE!</x:v>
      </x:c>
      <x:c r="D271" s="5" t="e">
        <x:f>MID(H271,SEARCH("]",H271)+1,200)</x:f>
        <x:v>#VALUE!</x:v>
      </x:c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</x:row>
    <x:row r="272" spans="3:24">
      <x:c r="C272" s="6" t="e">
        <x:f>LEFT(H272,SEARCH("]",H272))</x:f>
        <x:v>#VALUE!</x:v>
      </x:c>
      <x:c r="D272" s="5" t="e">
        <x:f>MID(H272,SEARCH("]",H272)+1,200)</x:f>
        <x:v>#VALUE!</x:v>
      </x:c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</x:row>
    <x:row r="273" spans="3:24">
      <x:c r="C273" s="6" t="e">
        <x:f>LEFT(H273,SEARCH("]",H273))</x:f>
        <x:v>#VALUE!</x:v>
      </x:c>
      <x:c r="D273" s="5" t="e">
        <x:f>MID(H273,SEARCH("]",H273)+1,200)</x:f>
        <x:v>#VALUE!</x:v>
      </x:c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</x:row>
    <x:row r="274" spans="3:24">
      <x:c r="C274" s="6" t="e">
        <x:f>LEFT(H274,SEARCH("]",H274))</x:f>
        <x:v>#VALUE!</x:v>
      </x:c>
      <x:c r="D274" s="5" t="e">
        <x:f>MID(H274,SEARCH("]",H274)+1,200)</x:f>
        <x:v>#VALUE!</x:v>
      </x:c>
      <x:c r="E274" s="1"/>
      <x:c r="F274" s="1"/>
      <x:c r="G274" s="1"/>
      <x:c r="H274" s="3"/>
      <x:c r="I274" s="1"/>
      <x:c r="J274" s="1"/>
      <x:c r="K274" s="1"/>
      <x:c r="L274" s="3"/>
      <x:c r="M274" s="3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</x:row>
    <x:row r="275" spans="3:24">
      <x:c r="C275" s="6" t="e">
        <x:f>LEFT(H275,SEARCH("]",H275))</x:f>
        <x:v>#VALUE!</x:v>
      </x:c>
      <x:c r="D275" s="5" t="e">
        <x:f>MID(H275,SEARCH("]",H275)+1,200)</x:f>
        <x:v>#VALUE!</x:v>
      </x:c>
      <x:c r="E275" s="1"/>
      <x:c r="F275" s="1"/>
      <x:c r="G275" s="1"/>
      <x:c r="H275" s="3"/>
      <x:c r="I275" s="1"/>
      <x:c r="J275" s="1"/>
      <x:c r="K275" s="1"/>
      <x:c r="L275" s="3"/>
      <x:c r="M275" s="3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</x:row>
    <x:row r="276" spans="3:24">
      <x:c r="C276" s="6" t="e">
        <x:f>LEFT(H276,SEARCH("]",H276))</x:f>
        <x:v>#VALUE!</x:v>
      </x:c>
      <x:c r="D276" s="5" t="e">
        <x:f>MID(H276,SEARCH("]",H276)+1,200)</x:f>
        <x:v>#VALUE!</x:v>
      </x:c>
      <x:c r="E276" s="1"/>
      <x:c r="F276" s="1"/>
      <x:c r="G276" s="1"/>
      <x:c r="H276" s="3"/>
      <x:c r="I276" s="1"/>
      <x:c r="J276" s="1"/>
      <x:c r="K276" s="1"/>
      <x:c r="L276" s="3"/>
      <x:c r="M276" s="3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</x:row>
    <x:row r="277" spans="3:24">
      <x:c r="C277" s="6" t="e">
        <x:f>LEFT(H277,SEARCH("]",H277))</x:f>
        <x:v>#VALUE!</x:v>
      </x:c>
      <x:c r="D277" s="5" t="e">
        <x:f>MID(H277,SEARCH("]",H277)+1,200)</x:f>
        <x:v>#VALUE!</x:v>
      </x:c>
      <x:c r="E277" s="1"/>
      <x:c r="F277" s="1"/>
      <x:c r="G277" s="1"/>
      <x:c r="H277" s="3"/>
      <x:c r="I277" s="1"/>
      <x:c r="J277" s="1"/>
      <x:c r="K277" s="1"/>
      <x:c r="L277" s="3"/>
      <x:c r="M277" s="3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</x:row>
    <x:row r="278" spans="3:24">
      <x:c r="C278" s="6" t="e">
        <x:f>LEFT(H278,SEARCH("]",H278))</x:f>
        <x:v>#VALUE!</x:v>
      </x:c>
      <x:c r="D278" s="5" t="e">
        <x:f>MID(H278,SEARCH("]",H278)+1,200)</x:f>
        <x:v>#VALUE!</x:v>
      </x:c>
      <x:c r="E278" s="1"/>
      <x:c r="F278" s="1"/>
      <x:c r="G278" s="1"/>
      <x:c r="H278" s="3"/>
      <x:c r="I278" s="1"/>
      <x:c r="J278" s="1"/>
      <x:c r="K278" s="1"/>
      <x:c r="L278" s="3"/>
      <x:c r="M278" s="3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</x:row>
    <x:row r="279" spans="3:24">
      <x:c r="C279" s="6" t="e">
        <x:f>LEFT(H279,SEARCH("]",H279))</x:f>
        <x:v>#VALUE!</x:v>
      </x:c>
      <x:c r="D279" s="5" t="e">
        <x:f>MID(H279,SEARCH("]",H279)+1,200)</x:f>
        <x:v>#VALUE!</x:v>
      </x:c>
      <x:c r="E279" s="1"/>
      <x:c r="F279" s="1"/>
      <x:c r="G279" s="1"/>
      <x:c r="H279" s="3"/>
      <x:c r="I279" s="1"/>
      <x:c r="J279" s="1"/>
      <x:c r="K279" s="1"/>
      <x:c r="L279" s="3"/>
      <x:c r="M279" s="3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</x:row>
    <x:row r="280" spans="3:24">
      <x:c r="C280" s="6" t="e">
        <x:f>LEFT(H280,SEARCH("]",H280))</x:f>
        <x:v>#VALUE!</x:v>
      </x:c>
      <x:c r="D280" s="5" t="e">
        <x:f>MID(H280,SEARCH("]",H280)+1,200)</x:f>
        <x:v>#VALUE!</x:v>
      </x:c>
      <x:c r="E280" s="1"/>
      <x:c r="F280" s="1"/>
      <x:c r="G280" s="1"/>
      <x:c r="H280" s="3"/>
      <x:c r="I280" s="1"/>
      <x:c r="J280" s="1"/>
      <x:c r="K280" s="1"/>
      <x:c r="L280" s="3"/>
      <x:c r="M280" s="3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</x:row>
    <x:row r="281" spans="3:24">
      <x:c r="C281" s="6" t="e">
        <x:f>LEFT(H281,SEARCH("]",H281))</x:f>
        <x:v>#VALUE!</x:v>
      </x:c>
      <x:c r="D281" s="5" t="e">
        <x:f>MID(H281,SEARCH("]",H281)+1,200)</x:f>
        <x:v>#VALUE!</x:v>
      </x:c>
      <x:c r="E281" s="1"/>
      <x:c r="F281" s="1"/>
      <x:c r="G281" s="1"/>
      <x:c r="H281" s="3"/>
      <x:c r="I281" s="1"/>
      <x:c r="J281" s="1"/>
      <x:c r="K281" s="1"/>
      <x:c r="L281" s="3"/>
      <x:c r="M281" s="3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</x:row>
    <x:row r="282" spans="3:24">
      <x:c r="C282" s="6" t="e">
        <x:f>LEFT(H282,SEARCH("]",H282))</x:f>
        <x:v>#VALUE!</x:v>
      </x:c>
      <x:c r="D282" s="5" t="e">
        <x:f>MID(H282,SEARCH("]",H282)+1,200)</x:f>
        <x:v>#VALUE!</x:v>
      </x:c>
      <x:c r="E282" s="1"/>
      <x:c r="F282" s="1"/>
      <x:c r="G282" s="1"/>
      <x:c r="H282" s="3"/>
      <x:c r="I282" s="1"/>
      <x:c r="J282" s="1"/>
      <x:c r="K282" s="1"/>
      <x:c r="L282" s="3"/>
      <x:c r="M282" s="3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</x:row>
    <x:row r="283" spans="3:24">
      <x:c r="C283" s="6" t="e">
        <x:f>LEFT(H283,SEARCH("]",H283))</x:f>
        <x:v>#VALUE!</x:v>
      </x:c>
      <x:c r="D283" s="5" t="e">
        <x:f>MID(H283,SEARCH("]",H283)+1,200)</x:f>
        <x:v>#VALUE!</x:v>
      </x:c>
      <x:c r="E283" s="1"/>
      <x:c r="F283" s="1"/>
      <x:c r="G283" s="1"/>
      <x:c r="H283" s="3"/>
      <x:c r="I283" s="1"/>
      <x:c r="J283" s="1"/>
      <x:c r="K283" s="1"/>
      <x:c r="L283" s="3"/>
      <x:c r="M283" s="3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</x:row>
    <x:row r="284" spans="3:24">
      <x:c r="C284" s="6" t="e">
        <x:f>LEFT(H284,SEARCH("]",H284))</x:f>
        <x:v>#VALUE!</x:v>
      </x:c>
      <x:c r="D284" s="5" t="e">
        <x:f>MID(H284,SEARCH("]",H284)+1,200)</x:f>
        <x:v>#VALUE!</x:v>
      </x:c>
      <x:c r="E284" s="1"/>
      <x:c r="F284" s="1"/>
      <x:c r="G284" s="1"/>
      <x:c r="H284" s="3"/>
      <x:c r="I284" s="1"/>
      <x:c r="J284" s="1"/>
      <x:c r="K284" s="1"/>
      <x:c r="L284" s="3"/>
      <x:c r="M284" s="3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</x:row>
    <x:row r="285" spans="3:24">
      <x:c r="C285" s="6" t="e">
        <x:f>LEFT(H285,SEARCH("]",H285))</x:f>
        <x:v>#VALUE!</x:v>
      </x:c>
      <x:c r="D285" s="5" t="e">
        <x:f>MID(H285,SEARCH("]",H285)+1,200)</x:f>
        <x:v>#VALUE!</x:v>
      </x:c>
      <x:c r="E285" s="1"/>
      <x:c r="F285" s="1"/>
      <x:c r="G285" s="1"/>
      <x:c r="H285" s="3"/>
      <x:c r="I285" s="1"/>
      <x:c r="J285" s="1"/>
      <x:c r="K285" s="1"/>
      <x:c r="L285" s="3"/>
      <x:c r="M285" s="3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</x:row>
    <x:row r="286" spans="3:24">
      <x:c r="C286" s="6" t="e">
        <x:f>LEFT(H286,SEARCH("]",H286))</x:f>
        <x:v>#VALUE!</x:v>
      </x:c>
      <x:c r="D286" s="5" t="e">
        <x:f>MID(H286,SEARCH("]",H286)+1,200)</x:f>
        <x:v>#VALUE!</x:v>
      </x:c>
      <x:c r="E286" s="1"/>
      <x:c r="F286" s="1"/>
      <x:c r="G286" s="1"/>
      <x:c r="H286" s="3"/>
      <x:c r="I286" s="1"/>
      <x:c r="J286" s="1"/>
      <x:c r="K286" s="1"/>
      <x:c r="L286" s="3"/>
      <x:c r="M286" s="3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</x:row>
    <x:row r="287" spans="3:24">
      <x:c r="C287" s="6" t="e">
        <x:f>LEFT(H287,SEARCH("]",H287))</x:f>
        <x:v>#VALUE!</x:v>
      </x:c>
      <x:c r="D287" s="5" t="e">
        <x:f>MID(H287,SEARCH("]",H287)+1,200)</x:f>
        <x:v>#VALUE!</x:v>
      </x:c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</x:row>
    <x:row r="288" spans="3:24">
      <x:c r="C288" s="6" t="e">
        <x:f>LEFT(H288,SEARCH("]",H288))</x:f>
        <x:v>#VALUE!</x:v>
      </x:c>
      <x:c r="D288" s="5" t="e">
        <x:f>MID(H288,SEARCH("]",H288)+1,200)</x:f>
        <x:v>#VALUE!</x:v>
      </x:c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</x:row>
    <x:row r="289" spans="3:24">
      <x:c r="C289" s="6" t="e">
        <x:f>LEFT(H289,SEARCH("]",H289))</x:f>
        <x:v>#VALUE!</x:v>
      </x:c>
      <x:c r="D289" s="5" t="e">
        <x:f>MID(H289,SEARCH("]",H289)+1,200)</x:f>
        <x:v>#VALUE!</x:v>
      </x:c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</x:row>
    <x:row r="290" spans="3:24">
      <x:c r="C290" s="6" t="e">
        <x:f>LEFT(H290,SEARCH("]",H290))</x:f>
        <x:v>#VALUE!</x:v>
      </x:c>
      <x:c r="D290" s="5" t="e">
        <x:f>MID(H290,SEARCH("]",H290)+1,200)</x:f>
        <x:v>#VALUE!</x:v>
      </x:c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</x:row>
    <x:row r="291" spans="3:24">
      <x:c r="C291" s="6" t="e">
        <x:f>LEFT(H291,SEARCH("]",H291))</x:f>
        <x:v>#VALUE!</x:v>
      </x:c>
      <x:c r="D291" s="5" t="e">
        <x:f>MID(H291,SEARCH("]",H291)+1,200)</x:f>
        <x:v>#VALUE!</x:v>
      </x:c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</x:row>
    <x:row r="292" spans="3:24">
      <x:c r="C292" s="6" t="e">
        <x:f>LEFT(H292,SEARCH("]",H292))</x:f>
        <x:v>#VALUE!</x:v>
      </x:c>
      <x:c r="D292" s="5" t="e">
        <x:f>MID(H292,SEARCH("]",H292)+1,200)</x:f>
        <x:v>#VALUE!</x:v>
      </x:c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</x:row>
    <x:row r="293" spans="3:24">
      <x:c r="C293" s="6" t="e">
        <x:f>LEFT(H293,SEARCH("]",H293))</x:f>
        <x:v>#VALUE!</x:v>
      </x:c>
      <x:c r="D293" s="5" t="e">
        <x:f>MID(H293,SEARCH("]",H293)+1,200)</x:f>
        <x:v>#VALUE!</x:v>
      </x:c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</x:row>
    <x:row r="294" spans="3:24">
      <x:c r="C294" s="6" t="e">
        <x:f>LEFT(H294,SEARCH("]",H294))</x:f>
        <x:v>#VALUE!</x:v>
      </x:c>
      <x:c r="D294" s="5" t="e">
        <x:f>MID(H294,SEARCH("]",H294)+1,200)</x:f>
        <x:v>#VALUE!</x:v>
      </x:c>
      <x:c r="E294" s="1"/>
      <x:c r="F294" s="1"/>
      <x:c r="G294" s="1"/>
      <x:c r="H294" s="3"/>
      <x:c r="I294" s="1"/>
      <x:c r="J294" s="1"/>
      <x:c r="K294" s="1"/>
      <x:c r="L294" s="3"/>
      <x:c r="M294" s="3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</x:row>
    <x:row r="295" spans="3:24">
      <x:c r="C295" s="6" t="e">
        <x:f>LEFT(H295,SEARCH("]",H295))</x:f>
        <x:v>#VALUE!</x:v>
      </x:c>
      <x:c r="D295" s="5" t="e">
        <x:f>MID(H295,SEARCH("]",H295)+1,200)</x:f>
        <x:v>#VALUE!</x:v>
      </x:c>
      <x:c r="E295" s="1"/>
      <x:c r="F295" s="1"/>
      <x:c r="G295" s="1"/>
      <x:c r="H295" s="3"/>
      <x:c r="I295" s="1"/>
      <x:c r="J295" s="1"/>
      <x:c r="K295" s="1"/>
      <x:c r="L295" s="3"/>
      <x:c r="M295" s="3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</x:row>
    <x:row r="296" spans="3:24">
      <x:c r="C296" s="6" t="e">
        <x:f>LEFT(H296,SEARCH("]",H296))</x:f>
        <x:v>#VALUE!</x:v>
      </x:c>
      <x:c r="D296" s="5" t="e">
        <x:f>MID(H296,SEARCH("]",H296)+1,200)</x:f>
        <x:v>#VALUE!</x:v>
      </x:c>
      <x:c r="E296" s="1"/>
      <x:c r="F296" s="1"/>
      <x:c r="G296" s="1"/>
      <x:c r="H296" s="3"/>
      <x:c r="I296" s="1"/>
      <x:c r="J296" s="1"/>
      <x:c r="K296" s="1"/>
      <x:c r="L296" s="3"/>
      <x:c r="M296" s="3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</x:row>
    <x:row r="297" spans="3:24">
      <x:c r="C297" s="6" t="e">
        <x:f>LEFT(H297,SEARCH("]",H297))</x:f>
        <x:v>#VALUE!</x:v>
      </x:c>
      <x:c r="D297" s="5" t="e">
        <x:f>MID(H297,SEARCH("]",H297)+1,200)</x:f>
        <x:v>#VALUE!</x:v>
      </x:c>
      <x:c r="E297" s="1"/>
      <x:c r="F297" s="1"/>
      <x:c r="G297" s="1"/>
      <x:c r="H297" s="3"/>
      <x:c r="I297" s="1"/>
      <x:c r="J297" s="1"/>
      <x:c r="K297" s="1"/>
      <x:c r="L297" s="3"/>
      <x:c r="M297" s="3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</x:row>
    <x:row r="298" spans="3:24">
      <x:c r="C298" s="6" t="e">
        <x:f>LEFT(H298,SEARCH("]",H298))</x:f>
        <x:v>#VALUE!</x:v>
      </x:c>
      <x:c r="D298" s="5" t="e">
        <x:f>MID(H298,SEARCH("]",H298)+1,200)</x:f>
        <x:v>#VALUE!</x:v>
      </x:c>
      <x:c r="E298" s="1"/>
      <x:c r="F298" s="1"/>
      <x:c r="G298" s="1"/>
      <x:c r="H298" s="3"/>
      <x:c r="I298" s="1"/>
      <x:c r="J298" s="1"/>
      <x:c r="K298" s="1"/>
      <x:c r="L298" s="3"/>
      <x:c r="M298" s="3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</x:row>
    <x:row r="299" spans="3:24">
      <x:c r="C299" s="6" t="e">
        <x:f>LEFT(H299,SEARCH("]",H299))</x:f>
        <x:v>#VALUE!</x:v>
      </x:c>
      <x:c r="D299" s="5" t="e">
        <x:f>MID(H299,SEARCH("]",H299)+1,200)</x:f>
        <x:v>#VALUE!</x:v>
      </x:c>
      <x:c r="E299" s="1"/>
      <x:c r="F299" s="1"/>
      <x:c r="G299" s="1"/>
      <x:c r="H299" s="3"/>
      <x:c r="I299" s="1"/>
      <x:c r="J299" s="1"/>
      <x:c r="K299" s="1"/>
      <x:c r="L299" s="3"/>
      <x:c r="M299" s="3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</x:row>
    <x:row r="300" spans="3:24">
      <x:c r="C300" s="6" t="e">
        <x:f>LEFT(H300,SEARCH("]",H300))</x:f>
        <x:v>#VALUE!</x:v>
      </x:c>
      <x:c r="D300" s="5" t="e">
        <x:f>MID(H300,SEARCH("]",H300)+1,200)</x:f>
        <x:v>#VALUE!</x:v>
      </x:c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</x:row>
    <x:row r="301" spans="3:24">
      <x:c r="C301" s="6" t="e">
        <x:f>LEFT(H301,SEARCH("]",H301))</x:f>
        <x:v>#VALUE!</x:v>
      </x:c>
      <x:c r="D301" s="5" t="e">
        <x:f>MID(H301,SEARCH("]",H301)+1,200)</x:f>
        <x:v>#VALUE!</x:v>
      </x:c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3"/>
      <x:c r="Q301" s="3"/>
      <x:c r="R301" s="3"/>
      <x:c r="S301" s="3"/>
      <x:c r="T301" s="3"/>
      <x:c r="U301" s="3"/>
      <x:c r="V301" s="3"/>
      <x:c r="W301" s="3"/>
      <x:c r="X301" s="3"/>
    </x:row>
    <x:row r="302" spans="3:24">
      <x:c r="C302" s="6" t="e">
        <x:f>LEFT(H302,SEARCH("]",H302))</x:f>
        <x:v>#VALUE!</x:v>
      </x:c>
      <x:c r="D302" s="5" t="e">
        <x:f>MID(H302,SEARCH("]",H302)+1,200)</x:f>
        <x:v>#VALUE!</x:v>
      </x:c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3"/>
      <x:c r="Q302" s="3"/>
      <x:c r="R302" s="3"/>
      <x:c r="S302" s="3"/>
      <x:c r="T302" s="3"/>
      <x:c r="U302" s="3"/>
      <x:c r="V302" s="3"/>
      <x:c r="W302" s="3"/>
      <x:c r="X302" s="3"/>
    </x:row>
    <x:row r="303" spans="3:24">
      <x:c r="C303" s="6" t="e">
        <x:f>LEFT(H303,SEARCH("]",H303))</x:f>
        <x:v>#VALUE!</x:v>
      </x:c>
      <x:c r="D303" s="5" t="e">
        <x:f>MID(H303,SEARCH("]",H303)+1,200)</x:f>
        <x:v>#VALUE!</x:v>
      </x:c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3"/>
      <x:c r="Q303" s="3"/>
      <x:c r="R303" s="3"/>
      <x:c r="S303" s="3"/>
      <x:c r="T303" s="3"/>
      <x:c r="U303" s="3"/>
      <x:c r="V303" s="3"/>
      <x:c r="W303" s="3"/>
      <x:c r="X303" s="3"/>
    </x:row>
    <x:row r="304" spans="3:24">
      <x:c r="C304" s="6" t="e">
        <x:f>LEFT(H304,SEARCH("]",H304))</x:f>
        <x:v>#VALUE!</x:v>
      </x:c>
      <x:c r="D304" s="5" t="e">
        <x:f>MID(H304,SEARCH("]",H304)+1,200)</x:f>
        <x:v>#VALUE!</x:v>
      </x:c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3"/>
      <x:c r="Q304" s="3"/>
      <x:c r="R304" s="3"/>
      <x:c r="S304" s="3"/>
      <x:c r="T304" s="3"/>
      <x:c r="U304" s="3"/>
      <x:c r="V304" s="3"/>
      <x:c r="W304" s="3"/>
      <x:c r="X304" s="3"/>
    </x:row>
    <x:row r="305" spans="3:24">
      <x:c r="C305" s="6" t="e">
        <x:f>LEFT(H305,SEARCH("]",H305))</x:f>
        <x:v>#VALUE!</x:v>
      </x:c>
      <x:c r="D305" s="5" t="e">
        <x:f>MID(H305,SEARCH("]",H305)+1,200)</x:f>
        <x:v>#VALUE!</x:v>
      </x:c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3"/>
      <x:c r="Q305" s="3"/>
      <x:c r="R305" s="3"/>
      <x:c r="S305" s="3"/>
      <x:c r="T305" s="3"/>
      <x:c r="U305" s="3"/>
      <x:c r="V305" s="3"/>
      <x:c r="W305" s="3"/>
      <x:c r="X305" s="3"/>
    </x:row>
    <x:row r="306" spans="3:24">
      <x:c r="C306" s="6" t="e">
        <x:f>LEFT(H306,SEARCH("]",H306))</x:f>
        <x:v>#VALUE!</x:v>
      </x:c>
      <x:c r="D306" s="5" t="e">
        <x:f>MID(H306,SEARCH("]",H306)+1,200)</x:f>
        <x:v>#VALUE!</x:v>
      </x:c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3"/>
      <x:c r="Q306" s="3"/>
      <x:c r="R306" s="3"/>
      <x:c r="S306" s="3"/>
      <x:c r="T306" s="3"/>
      <x:c r="U306" s="3"/>
      <x:c r="V306" s="3"/>
      <x:c r="W306" s="3"/>
      <x:c r="X306" s="3"/>
    </x:row>
    <x:row r="307" spans="3:24">
      <x:c r="C307" s="6" t="e">
        <x:f>LEFT(H307,SEARCH("]",H307))</x:f>
        <x:v>#VALUE!</x:v>
      </x:c>
      <x:c r="D307" s="5" t="e">
        <x:f>MID(H307,SEARCH("]",H307)+1,200)</x:f>
        <x:v>#VALUE!</x:v>
      </x:c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3"/>
      <x:c r="Q307" s="3"/>
      <x:c r="R307" s="3"/>
      <x:c r="S307" s="3"/>
      <x:c r="T307" s="3"/>
      <x:c r="U307" s="3"/>
      <x:c r="V307" s="3"/>
      <x:c r="W307" s="3"/>
      <x:c r="X307" s="3"/>
    </x:row>
    <x:row r="308" spans="3:24">
      <x:c r="C308" s="6" t="e">
        <x:f>LEFT(H308,SEARCH("]",H308))</x:f>
        <x:v>#VALUE!</x:v>
      </x:c>
      <x:c r="D308" s="5" t="e">
        <x:f>MID(H308,SEARCH("]",H308)+1,200)</x:f>
        <x:v>#VALUE!</x:v>
      </x:c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3"/>
      <x:c r="Q308" s="3"/>
      <x:c r="R308" s="3"/>
      <x:c r="S308" s="3"/>
      <x:c r="T308" s="3"/>
      <x:c r="U308" s="3"/>
      <x:c r="V308" s="3"/>
      <x:c r="W308" s="3"/>
      <x:c r="X308" s="3"/>
    </x:row>
    <x:row r="309" spans="3:24">
      <x:c r="C309" s="6" t="e">
        <x:f>LEFT(H309,SEARCH("]",H309))</x:f>
        <x:v>#VALUE!</x:v>
      </x:c>
      <x:c r="D309" s="5" t="e">
        <x:f>MID(H309,SEARCH("]",H309)+1,200)</x:f>
        <x:v>#VALUE!</x:v>
      </x:c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3"/>
      <x:c r="Q309" s="3"/>
      <x:c r="R309" s="3"/>
      <x:c r="S309" s="3"/>
      <x:c r="T309" s="3"/>
      <x:c r="U309" s="3"/>
      <x:c r="V309" s="3"/>
      <x:c r="W309" s="3"/>
      <x:c r="X309" s="3"/>
    </x:row>
    <x:row r="310" spans="3:24">
      <x:c r="C310" s="6" t="e">
        <x:f>LEFT(H310,SEARCH("]",H310))</x:f>
        <x:v>#VALUE!</x:v>
      </x:c>
      <x:c r="D310" s="5" t="e">
        <x:f>MID(H310,SEARCH("]",H310)+1,200)</x:f>
        <x:v>#VALUE!</x:v>
      </x:c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3"/>
      <x:c r="Q310" s="3"/>
      <x:c r="R310" s="3"/>
      <x:c r="S310" s="3"/>
      <x:c r="T310" s="3"/>
      <x:c r="U310" s="3"/>
      <x:c r="V310" s="3"/>
      <x:c r="W310" s="3"/>
      <x:c r="X310" s="3"/>
    </x:row>
    <x:row r="311" spans="3:24">
      <x:c r="C311" s="6" t="e">
        <x:f>LEFT(H311,SEARCH("]",H311))</x:f>
        <x:v>#VALUE!</x:v>
      </x:c>
      <x:c r="D311" s="5" t="e">
        <x:f>MID(H311,SEARCH("]",H311)+1,200)</x:f>
        <x:v>#VALUE!</x:v>
      </x:c>
      <x:c r="E311" s="1"/>
      <x:c r="F311" s="1"/>
      <x:c r="G311" s="1"/>
      <x:c r="H311" s="3"/>
      <x:c r="I311" s="1"/>
      <x:c r="J311" s="1"/>
      <x:c r="K311" s="1"/>
      <x:c r="L311" s="3"/>
      <x:c r="M311" s="3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</x:row>
    <x:row r="312" spans="3:24">
      <x:c r="C312" s="6" t="e">
        <x:f>LEFT(H312,SEARCH("]",H312))</x:f>
        <x:v>#VALUE!</x:v>
      </x:c>
      <x:c r="D312" s="5" t="e">
        <x:f>MID(H312,SEARCH("]",H312)+1,200)</x:f>
        <x:v>#VALUE!</x:v>
      </x:c>
      <x:c r="E312" s="1"/>
      <x:c r="F312" s="1"/>
      <x:c r="G312" s="1"/>
      <x:c r="H312" s="3"/>
      <x:c r="I312" s="1"/>
      <x:c r="J312" s="1"/>
      <x:c r="K312" s="1"/>
      <x:c r="L312" s="3"/>
      <x:c r="M312" s="3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</x:row>
    <x:row r="313" spans="3:24">
      <x:c r="C313" s="6" t="e">
        <x:f>LEFT(H313,SEARCH("]",H313))</x:f>
        <x:v>#VALUE!</x:v>
      </x:c>
      <x:c r="D313" s="5" t="e">
        <x:f>MID(H313,SEARCH("]",H313)+1,200)</x:f>
        <x:v>#VALUE!</x:v>
      </x:c>
      <x:c r="E313" s="1"/>
      <x:c r="F313" s="1"/>
      <x:c r="G313" s="1"/>
      <x:c r="H313" s="3"/>
      <x:c r="I313" s="1"/>
      <x:c r="J313" s="1"/>
      <x:c r="K313" s="1"/>
      <x:c r="L313" s="3"/>
      <x:c r="M313" s="3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</x:row>
    <x:row r="314" spans="3:24">
      <x:c r="C314" s="6" t="e">
        <x:f>LEFT(H314,SEARCH("]",H314))</x:f>
        <x:v>#VALUE!</x:v>
      </x:c>
      <x:c r="D314" s="5" t="e">
        <x:f>MID(H314,SEARCH("]",H314)+1,200)</x:f>
        <x:v>#VALUE!</x:v>
      </x:c>
      <x:c r="E314" s="1"/>
      <x:c r="F314" s="1"/>
      <x:c r="G314" s="1"/>
      <x:c r="H314" s="3"/>
      <x:c r="I314" s="1"/>
      <x:c r="J314" s="1"/>
      <x:c r="K314" s="1"/>
      <x:c r="L314" s="3"/>
      <x:c r="M314" s="3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</x:row>
    <x:row r="315" spans="3:24">
      <x:c r="C315" s="6" t="e">
        <x:f>LEFT(H315,SEARCH("]",H315))</x:f>
        <x:v>#VALUE!</x:v>
      </x:c>
      <x:c r="D315" s="5" t="e">
        <x:f>MID(H315,SEARCH("]",H315)+1,200)</x:f>
        <x:v>#VALUE!</x:v>
      </x:c>
      <x:c r="E315" s="1"/>
      <x:c r="F315" s="1"/>
      <x:c r="G315" s="1"/>
      <x:c r="H315" s="3"/>
      <x:c r="I315" s="1"/>
      <x:c r="J315" s="1"/>
      <x:c r="K315" s="1"/>
      <x:c r="L315" s="3"/>
      <x:c r="M315" s="3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</x:row>
    <x:row r="316" spans="3:24">
      <x:c r="C316" s="6" t="e">
        <x:f>LEFT(H316,SEARCH("]",H316))</x:f>
        <x:v>#VALUE!</x:v>
      </x:c>
      <x:c r="D316" s="5" t="e">
        <x:f>MID(H316,SEARCH("]",H316)+1,200)</x:f>
        <x:v>#VALUE!</x:v>
      </x:c>
      <x:c r="E316" s="1"/>
      <x:c r="F316" s="1"/>
      <x:c r="G316" s="1"/>
      <x:c r="H316" s="3"/>
      <x:c r="I316" s="1"/>
      <x:c r="J316" s="1"/>
      <x:c r="K316" s="1"/>
      <x:c r="L316" s="3"/>
      <x:c r="M316" s="3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</x:row>
    <x:row r="317" spans="3:24">
      <x:c r="C317" s="6" t="e">
        <x:f>LEFT(H317,SEARCH("]",H317))</x:f>
        <x:v>#VALUE!</x:v>
      </x:c>
      <x:c r="D317" s="5" t="e">
        <x:f>MID(H317,SEARCH("]",H317)+1,200)</x:f>
        <x:v>#VALUE!</x:v>
      </x:c>
      <x:c r="E317" s="1"/>
      <x:c r="F317" s="1"/>
      <x:c r="G317" s="1"/>
      <x:c r="H317" s="3"/>
      <x:c r="I317" s="1"/>
      <x:c r="J317" s="1"/>
      <x:c r="K317" s="1"/>
      <x:c r="L317" s="3"/>
      <x:c r="M317" s="3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</x:row>
    <x:row r="318" spans="3:24">
      <x:c r="C318" s="6" t="e">
        <x:f>LEFT(H318,SEARCH("]",H318))</x:f>
        <x:v>#VALUE!</x:v>
      </x:c>
      <x:c r="D318" s="5" t="e">
        <x:f>MID(H318,SEARCH("]",H318)+1,200)</x:f>
        <x:v>#VALUE!</x:v>
      </x:c>
      <x:c r="E318" s="1"/>
      <x:c r="F318" s="1"/>
      <x:c r="G318" s="1"/>
      <x:c r="H318" s="3"/>
      <x:c r="I318" s="1"/>
      <x:c r="J318" s="1"/>
      <x:c r="K318" s="1"/>
      <x:c r="L318" s="3"/>
      <x:c r="M318" s="3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</x:row>
    <x:row r="319" spans="3:24">
      <x:c r="C319" s="6" t="e">
        <x:f>LEFT(H319,SEARCH("]",H319))</x:f>
        <x:v>#VALUE!</x:v>
      </x:c>
      <x:c r="D319" s="5" t="e">
        <x:f>MID(H319,SEARCH("]",H319)+1,200)</x:f>
        <x:v>#VALUE!</x:v>
      </x:c>
      <x:c r="E319" s="1"/>
      <x:c r="F319" s="1"/>
      <x:c r="G319" s="1"/>
      <x:c r="H319" s="3"/>
      <x:c r="I319" s="1"/>
      <x:c r="J319" s="1"/>
      <x:c r="K319" s="1"/>
      <x:c r="L319" s="3"/>
      <x:c r="M319" s="3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</x:row>
    <x:row r="320" spans="3:24">
      <x:c r="C320" s="6" t="e">
        <x:f>LEFT(H320,SEARCH("]",H320))</x:f>
        <x:v>#VALUE!</x:v>
      </x:c>
      <x:c r="D320" s="5" t="e">
        <x:f>MID(H320,SEARCH("]",H320)+1,200)</x:f>
        <x:v>#VALUE!</x:v>
      </x:c>
      <x:c r="E320" s="1"/>
      <x:c r="F320" s="1"/>
      <x:c r="G320" s="1"/>
      <x:c r="H320" s="3"/>
      <x:c r="I320" s="1"/>
      <x:c r="J320" s="1"/>
      <x:c r="K320" s="1"/>
      <x:c r="L320" s="3"/>
      <x:c r="M320" s="3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</x:row>
    <x:row r="321" spans="3:24">
      <x:c r="C321" s="6" t="e">
        <x:f>LEFT(H321,SEARCH("]",H321))</x:f>
        <x:v>#VALUE!</x:v>
      </x:c>
      <x:c r="D321" s="5" t="e">
        <x:f>MID(H321,SEARCH("]",H321)+1,200)</x:f>
        <x:v>#VALUE!</x:v>
      </x:c>
      <x:c r="E321" s="1"/>
      <x:c r="F321" s="1"/>
      <x:c r="G321" s="1"/>
      <x:c r="H321" s="3"/>
      <x:c r="I321" s="1"/>
      <x:c r="J321" s="1"/>
      <x:c r="K321" s="1"/>
      <x:c r="L321" s="3"/>
      <x:c r="M321" s="3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</x:row>
    <x:row r="322" spans="3:24">
      <x:c r="C322" s="6" t="e">
        <x:f>LEFT(H322,SEARCH("]",H322))</x:f>
        <x:v>#VALUE!</x:v>
      </x:c>
      <x:c r="D322" s="5" t="e">
        <x:f>MID(H322,SEARCH("]",H322)+1,200)</x:f>
        <x:v>#VALUE!</x:v>
      </x:c>
      <x:c r="E322" s="1"/>
      <x:c r="F322" s="1"/>
      <x:c r="G322" s="1"/>
      <x:c r="H322" s="3"/>
      <x:c r="I322" s="1"/>
      <x:c r="J322" s="1"/>
      <x:c r="K322" s="1"/>
      <x:c r="L322" s="3"/>
      <x:c r="M322" s="3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</x:row>
    <x:row r="323" spans="3:13">
      <x:c r="C323" s="6" t="e">
        <x:f>LEFT(H323,SEARCH("]",H323))</x:f>
        <x:v>#VALUE!</x:v>
      </x:c>
      <x:c r="D323" s="5" t="e">
        <x:f>MID(H323,SEARCH("]",H323)+1,200)</x:f>
        <x:v>#VALUE!</x:v>
      </x:c>
      <x:c r="H323" s="3"/>
      <x:c r="L323" s="3"/>
      <x:c r="M323" s="3"/>
    </x:row>
    <x:row r="324" spans="3:13">
      <x:c r="C324" s="6" t="e">
        <x:f>LEFT(H324,SEARCH("]",H324))</x:f>
        <x:v>#VALUE!</x:v>
      </x:c>
      <x:c r="D324" s="5" t="e">
        <x:f>MID(H324,SEARCH("]",H324)+1,200)</x:f>
        <x:v>#VALUE!</x:v>
      </x:c>
      <x:c r="H324" s="3"/>
      <x:c r="L324" s="3"/>
      <x:c r="M324" s="3"/>
    </x:row>
    <x:row r="325" spans="3:13">
      <x:c r="C325" s="6" t="e">
        <x:f>LEFT(H325,SEARCH("]",H325))</x:f>
        <x:v>#VALUE!</x:v>
      </x:c>
      <x:c r="D325" s="5" t="e">
        <x:f>MID(H325,SEARCH("]",H325)+1,200)</x:f>
        <x:v>#VALUE!</x:v>
      </x:c>
      <x:c r="H325" s="3"/>
      <x:c r="L325" s="3"/>
      <x:c r="M325" s="3"/>
    </x:row>
    <x:row r="326" spans="3:13">
      <x:c r="C326" s="6" t="e">
        <x:f>LEFT(H326,SEARCH("]",H326))</x:f>
        <x:v>#VALUE!</x:v>
      </x:c>
      <x:c r="D326" s="5" t="e">
        <x:f>MID(H326,SEARCH("]",H326)+1,200)</x:f>
        <x:v>#VALUE!</x:v>
      </x:c>
      <x:c r="H326" s="3"/>
      <x:c r="L326" s="3"/>
      <x:c r="M326" s="3"/>
    </x:row>
    <x:row r="327" spans="3:13">
      <x:c r="C327" s="6" t="e">
        <x:f>LEFT(H327,SEARCH("]",H327))</x:f>
        <x:v>#VALUE!</x:v>
      </x:c>
      <x:c r="D327" s="5" t="e">
        <x:f>MID(H327,SEARCH("]",H327)+1,200)</x:f>
        <x:v>#VALUE!</x:v>
      </x:c>
      <x:c r="H327" s="3"/>
      <x:c r="L327" s="3"/>
      <x:c r="M327" s="3"/>
    </x:row>
    <x:row r="328" spans="3:13">
      <x:c r="C328" s="6" t="e">
        <x:f>LEFT(H328,SEARCH("]",H328))</x:f>
        <x:v>#VALUE!</x:v>
      </x:c>
      <x:c r="D328" s="5" t="e">
        <x:f>MID(H328,SEARCH("]",H328)+1,200)</x:f>
        <x:v>#VALUE!</x:v>
      </x:c>
      <x:c r="H328" s="3"/>
      <x:c r="L328" s="3"/>
      <x:c r="M328" s="3"/>
    </x:row>
    <x:row r="329" spans="3:13">
      <x:c r="C329" s="6" t="e">
        <x:f>LEFT(H329,SEARCH("]",H329))</x:f>
        <x:v>#VALUE!</x:v>
      </x:c>
      <x:c r="D329" s="5" t="e">
        <x:f>MID(H329,SEARCH("]",H329)+1,200)</x:f>
        <x:v>#VALUE!</x:v>
      </x:c>
      <x:c r="H329" s="3"/>
      <x:c r="L329" s="3"/>
      <x:c r="M329" s="3"/>
    </x:row>
    <x:row r="330" spans="3:13">
      <x:c r="C330" s="6" t="e">
        <x:f>LEFT(H330,SEARCH("]",H330))</x:f>
        <x:v>#VALUE!</x:v>
      </x:c>
      <x:c r="D330" s="5" t="e">
        <x:f>MID(H330,SEARCH("]",H330)+1,200)</x:f>
        <x:v>#VALUE!</x:v>
      </x:c>
      <x:c r="H330" s="3"/>
      <x:c r="L330" s="3"/>
      <x:c r="M330" s="3"/>
    </x:row>
    <x:row r="331" spans="3:13">
      <x:c r="C331" s="6" t="e">
        <x:f>LEFT(H331,SEARCH("]",H331))</x:f>
        <x:v>#VALUE!</x:v>
      </x:c>
      <x:c r="D331" s="5" t="e">
        <x:f>MID(H331,SEARCH("]",H331)+1,200)</x:f>
        <x:v>#VALUE!</x:v>
      </x:c>
      <x:c r="H331" s="3"/>
      <x:c r="L331" s="3"/>
      <x:c r="M331" s="3"/>
    </x:row>
    <x:row r="332" spans="3:13">
      <x:c r="C332" s="6" t="e">
        <x:f>LEFT(H332,SEARCH("]",H332))</x:f>
        <x:v>#VALUE!</x:v>
      </x:c>
      <x:c r="D332" s="5" t="e">
        <x:f>MID(H332,SEARCH("]",H332)+1,200)</x:f>
        <x:v>#VALUE!</x:v>
      </x:c>
      <x:c r="H332" s="3"/>
      <x:c r="L332" s="3"/>
      <x:c r="M332" s="3"/>
    </x:row>
    <x:row r="333" spans="3:13">
      <x:c r="C333" s="6" t="e">
        <x:f>LEFT(H333,SEARCH("]",H333))</x:f>
        <x:v>#VALUE!</x:v>
      </x:c>
      <x:c r="D333" s="5" t="e">
        <x:f>MID(H333,SEARCH("]",H333)+1,200)</x:f>
        <x:v>#VALUE!</x:v>
      </x:c>
      <x:c r="H333" s="3"/>
      <x:c r="L333" s="3"/>
      <x:c r="M333" s="3"/>
    </x:row>
    <x:row r="334" spans="3:13">
      <x:c r="C334" s="6" t="e">
        <x:f>LEFT(H334,SEARCH("]",H334))</x:f>
        <x:v>#VALUE!</x:v>
      </x:c>
      <x:c r="D334" s="5" t="e">
        <x:f>MID(H334,SEARCH("]",H334)+1,200)</x:f>
        <x:v>#VALUE!</x:v>
      </x:c>
      <x:c r="H334" s="3"/>
      <x:c r="L334" s="3"/>
      <x:c r="M334" s="3"/>
    </x:row>
    <x:row r="335" spans="3:13">
      <x:c r="C335" s="6" t="e">
        <x:f>LEFT(H335,SEARCH("]",H335))</x:f>
        <x:v>#VALUE!</x:v>
      </x:c>
      <x:c r="D335" s="5" t="e">
        <x:f>MID(H335,SEARCH("]",H335)+1,200)</x:f>
        <x:v>#VALUE!</x:v>
      </x:c>
      <x:c r="H335" s="3"/>
      <x:c r="L335" s="3"/>
      <x:c r="M335" s="3"/>
    </x:row>
    <x:row r="336" spans="3:13">
      <x:c r="C336" s="6" t="e">
        <x:f>LEFT(H336,SEARCH("]",H336))</x:f>
        <x:v>#VALUE!</x:v>
      </x:c>
      <x:c r="D336" s="5" t="e">
        <x:f>MID(H336,SEARCH("]",H336)+1,200)</x:f>
        <x:v>#VALUE!</x:v>
      </x:c>
      <x:c r="H336" s="3"/>
      <x:c r="L336" s="3"/>
      <x:c r="M336" s="3"/>
    </x:row>
    <x:row r="337" spans="3:13">
      <x:c r="C337" s="6" t="e">
        <x:f>LEFT(H337,SEARCH("]",H337))</x:f>
        <x:v>#VALUE!</x:v>
      </x:c>
      <x:c r="D337" s="5" t="e">
        <x:f>MID(H337,SEARCH("]",H337)+1,200)</x:f>
        <x:v>#VALUE!</x:v>
      </x:c>
      <x:c r="H337" s="3"/>
      <x:c r="L337" s="3"/>
      <x:c r="M337" s="3"/>
    </x:row>
    <x:row r="338" spans="3:13">
      <x:c r="C338" s="6" t="e">
        <x:f>LEFT(H338,SEARCH("]",H338))</x:f>
        <x:v>#VALUE!</x:v>
      </x:c>
      <x:c r="D338" s="5" t="e">
        <x:f>MID(H338,SEARCH("]",H338)+1,200)</x:f>
        <x:v>#VALUE!</x:v>
      </x:c>
      <x:c r="H338" s="3"/>
      <x:c r="L338" s="3"/>
      <x:c r="M338" s="3"/>
    </x:row>
    <x:row r="339" spans="3:13">
      <x:c r="C339" s="6" t="e">
        <x:f>LEFT(H339,SEARCH("]",H339))</x:f>
        <x:v>#VALUE!</x:v>
      </x:c>
      <x:c r="D339" s="5" t="e">
        <x:f>MID(H339,SEARCH("]",H339)+1,200)</x:f>
        <x:v>#VALUE!</x:v>
      </x:c>
      <x:c r="H339" s="3"/>
      <x:c r="L339" s="3"/>
      <x:c r="M339" s="3"/>
    </x:row>
    <x:row r="340" spans="3:13">
      <x:c r="C340" s="6" t="e">
        <x:f>LEFT(H340,SEARCH("]",H340))</x:f>
        <x:v>#VALUE!</x:v>
      </x:c>
      <x:c r="D340" s="5" t="e">
        <x:f>MID(H340,SEARCH("]",H340)+1,200)</x:f>
        <x:v>#VALUE!</x:v>
      </x:c>
      <x:c r="H340" s="3"/>
      <x:c r="L340" s="3"/>
      <x:c r="M340" s="3"/>
    </x:row>
    <x:row r="341" spans="3:13">
      <x:c r="C341" s="6" t="e">
        <x:f>LEFT(H341,SEARCH("]",H341))</x:f>
        <x:v>#VALUE!</x:v>
      </x:c>
      <x:c r="D341" s="5" t="e">
        <x:f>MID(H341,SEARCH("]",H341)+1,200)</x:f>
        <x:v>#VALUE!</x:v>
      </x:c>
      <x:c r="H341" s="3"/>
      <x:c r="L341" s="3"/>
      <x:c r="M341" s="3"/>
    </x:row>
    <x:row r="342" spans="3:13">
      <x:c r="C342" s="6" t="e">
        <x:f>LEFT(H342,SEARCH("]",H342))</x:f>
        <x:v>#VALUE!</x:v>
      </x:c>
      <x:c r="D342" s="5" t="e">
        <x:f>MID(H342,SEARCH("]",H342)+1,200)</x:f>
        <x:v>#VALUE!</x:v>
      </x:c>
      <x:c r="H342" s="3"/>
      <x:c r="L342" s="3"/>
      <x:c r="M342" s="3"/>
    </x:row>
    <x:row r="343" spans="3:13">
      <x:c r="C343" s="6" t="e">
        <x:f>LEFT(H343,SEARCH("]",H343))</x:f>
        <x:v>#VALUE!</x:v>
      </x:c>
      <x:c r="D343" s="5" t="e">
        <x:f>MID(H343,SEARCH("]",H343)+1,200)</x:f>
        <x:v>#VALUE!</x:v>
      </x:c>
      <x:c r="H343" s="3"/>
      <x:c r="L343" s="3"/>
      <x:c r="M343" s="3"/>
    </x:row>
    <x:row r="344" spans="3:13">
      <x:c r="C344" s="6" t="e">
        <x:f>LEFT(H344,SEARCH("]",H344))</x:f>
        <x:v>#VALUE!</x:v>
      </x:c>
      <x:c r="D344" s="5" t="e">
        <x:f>MID(H344,SEARCH("]",H344)+1,200)</x:f>
        <x:v>#VALUE!</x:v>
      </x:c>
      <x:c r="H344" s="3"/>
      <x:c r="L344" s="3"/>
      <x:c r="M344" s="3"/>
    </x:row>
    <x:row r="345" spans="3:13">
      <x:c r="C345" s="6" t="e">
        <x:f>LEFT(H345,SEARCH("]",H345))</x:f>
        <x:v>#VALUE!</x:v>
      </x:c>
      <x:c r="D345" s="5" t="e">
        <x:f>MID(H345,SEARCH("]",H345)+1,200)</x:f>
        <x:v>#VALUE!</x:v>
      </x:c>
      <x:c r="H345" s="3"/>
      <x:c r="L345" s="3"/>
      <x:c r="M345" s="3"/>
    </x:row>
    <x:row r="346" spans="3:13">
      <x:c r="C346" s="6" t="e">
        <x:f>LEFT(H346,SEARCH("]",H346))</x:f>
        <x:v>#VALUE!</x:v>
      </x:c>
      <x:c r="D346" s="5" t="e">
        <x:f>MID(H346,SEARCH("]",H346)+1,200)</x:f>
        <x:v>#VALUE!</x:v>
      </x:c>
      <x:c r="H346" s="3"/>
      <x:c r="L346" s="3"/>
      <x:c r="M346" s="3"/>
    </x:row>
    <x:row r="347" spans="3:13">
      <x:c r="C347" s="6" t="e">
        <x:f>LEFT(H347,SEARCH("]",H347))</x:f>
        <x:v>#VALUE!</x:v>
      </x:c>
      <x:c r="D347" s="5" t="e">
        <x:f>MID(H347,SEARCH("]",H347)+1,200)</x:f>
        <x:v>#VALUE!</x:v>
      </x:c>
      <x:c r="H347" s="3"/>
      <x:c r="L347" s="3"/>
      <x:c r="M347" s="3"/>
    </x:row>
    <x:row r="348" spans="3:13">
      <x:c r="C348" s="6" t="e">
        <x:f>LEFT(H348,SEARCH("]",H348))</x:f>
        <x:v>#VALUE!</x:v>
      </x:c>
      <x:c r="D348" s="5" t="e">
        <x:f>MID(H348,SEARCH("]",H348)+1,200)</x:f>
        <x:v>#VALUE!</x:v>
      </x:c>
      <x:c r="H348" s="3"/>
      <x:c r="L348" s="3"/>
      <x:c r="M348" s="3"/>
    </x:row>
    <x:row r="349" spans="3:13">
      <x:c r="C349" s="6" t="e">
        <x:f>LEFT(H349,SEARCH("]",H349))</x:f>
        <x:v>#VALUE!</x:v>
      </x:c>
      <x:c r="D349" s="5" t="e">
        <x:f>MID(H349,SEARCH("]",H349)+1,200)</x:f>
        <x:v>#VALUE!</x:v>
      </x:c>
      <x:c r="H349" s="3"/>
      <x:c r="L349" s="3"/>
      <x:c r="M349" s="3"/>
    </x:row>
    <x:row r="350" spans="3:13">
      <x:c r="C350" s="6" t="e">
        <x:f>LEFT(H350,SEARCH("]",H350))</x:f>
        <x:v>#VALUE!</x:v>
      </x:c>
      <x:c r="D350" s="5" t="e">
        <x:f>MID(H350,SEARCH("]",H350)+1,200)</x:f>
        <x:v>#VALUE!</x:v>
      </x:c>
      <x:c r="H350" s="3"/>
      <x:c r="L350" s="3"/>
      <x:c r="M350" s="3"/>
    </x:row>
    <x:row r="351" spans="3:13">
      <x:c r="C351" s="6" t="e">
        <x:f>LEFT(H351,SEARCH("]",H351))</x:f>
        <x:v>#VALUE!</x:v>
      </x:c>
      <x:c r="D351" s="5" t="e">
        <x:f>MID(H351,SEARCH("]",H351)+1,200)</x:f>
        <x:v>#VALUE!</x:v>
      </x:c>
      <x:c r="H351" s="3"/>
      <x:c r="L351" s="3"/>
      <x:c r="M351" s="3"/>
    </x:row>
    <x:row r="352" spans="3:13">
      <x:c r="C352" s="6" t="e">
        <x:f>LEFT(H352,SEARCH("]",H352))</x:f>
        <x:v>#VALUE!</x:v>
      </x:c>
      <x:c r="D352" s="5" t="e">
        <x:f>MID(H352,SEARCH("]",H352)+1,200)</x:f>
        <x:v>#VALUE!</x:v>
      </x:c>
      <x:c r="H352" s="3"/>
      <x:c r="L352" s="3"/>
      <x:c r="M352" s="3"/>
    </x:row>
    <x:row r="353" spans="3:13">
      <x:c r="C353" s="6" t="e">
        <x:f>LEFT(H353,SEARCH("]",H353))</x:f>
        <x:v>#VALUE!</x:v>
      </x:c>
      <x:c r="D353" s="5" t="e">
        <x:f>MID(H353,SEARCH("]",H353)+1,200)</x:f>
        <x:v>#VALUE!</x:v>
      </x:c>
      <x:c r="H353" s="3"/>
      <x:c r="L353" s="3"/>
      <x:c r="M353" s="3"/>
    </x:row>
    <x:row r="354" spans="3:13">
      <x:c r="C354" s="6" t="e">
        <x:f>LEFT(H354,SEARCH("]",H354))</x:f>
        <x:v>#VALUE!</x:v>
      </x:c>
      <x:c r="D354" s="5" t="e">
        <x:f>MID(H354,SEARCH("]",H354)+1,200)</x:f>
        <x:v>#VALUE!</x:v>
      </x:c>
      <x:c r="H354" s="3"/>
      <x:c r="L354" s="3"/>
      <x:c r="M354" s="3"/>
    </x:row>
    <x:row r="355" spans="3:13">
      <x:c r="C355" s="6" t="e">
        <x:f>LEFT(H355,SEARCH("]",H355))</x:f>
        <x:v>#VALUE!</x:v>
      </x:c>
      <x:c r="D355" s="5" t="e">
        <x:f>MID(H355,SEARCH("]",H355)+1,200)</x:f>
        <x:v>#VALUE!</x:v>
      </x:c>
      <x:c r="H355" s="3"/>
      <x:c r="L355" s="3"/>
      <x:c r="M355" s="3"/>
    </x:row>
    <x:row r="356" spans="3:13">
      <x:c r="C356" s="6" t="e">
        <x:f>LEFT(H356,SEARCH("]",H356))</x:f>
        <x:v>#VALUE!</x:v>
      </x:c>
      <x:c r="D356" s="5" t="e">
        <x:f>MID(H356,SEARCH("]",H356)+1,200)</x:f>
        <x:v>#VALUE!</x:v>
      </x:c>
      <x:c r="H356" s="3"/>
      <x:c r="L356" s="3"/>
      <x:c r="M356" s="3"/>
    </x:row>
    <x:row r="357" spans="3:13">
      <x:c r="C357" s="6" t="e">
        <x:f>LEFT(H357,SEARCH("]",H357))</x:f>
        <x:v>#VALUE!</x:v>
      </x:c>
      <x:c r="D357" s="5" t="e">
        <x:f>MID(H357,SEARCH("]",H357)+1,200)</x:f>
        <x:v>#VALUE!</x:v>
      </x:c>
      <x:c r="H357" s="3"/>
      <x:c r="L357" s="3"/>
      <x:c r="M357" s="3"/>
    </x:row>
    <x:row r="358" spans="3:13">
      <x:c r="C358" s="6" t="e">
        <x:f>LEFT(H358,SEARCH("]",H358))</x:f>
        <x:v>#VALUE!</x:v>
      </x:c>
      <x:c r="D358" s="5" t="e">
        <x:f>MID(H358,SEARCH("]",H358)+1,200)</x:f>
        <x:v>#VALUE!</x:v>
      </x:c>
      <x:c r="H358" s="3"/>
      <x:c r="L358" s="3"/>
      <x:c r="M358" s="3"/>
    </x:row>
    <x:row r="359" spans="3:13">
      <x:c r="C359" s="6" t="e">
        <x:f>LEFT(H359,SEARCH("]",H359))</x:f>
        <x:v>#VALUE!</x:v>
      </x:c>
      <x:c r="D359" s="5" t="e">
        <x:f>MID(H359,SEARCH("]",H359)+1,200)</x:f>
        <x:v>#VALUE!</x:v>
      </x:c>
      <x:c r="H359" s="3"/>
      <x:c r="L359" s="3"/>
      <x:c r="M359" s="3"/>
    </x:row>
    <x:row r="360" spans="3:13">
      <x:c r="C360" s="6" t="e">
        <x:f>LEFT(H360,SEARCH("]",H360))</x:f>
        <x:v>#VALUE!</x:v>
      </x:c>
      <x:c r="D360" s="5" t="e">
        <x:f>MID(H360,SEARCH("]",H360)+1,200)</x:f>
        <x:v>#VALUE!</x:v>
      </x:c>
      <x:c r="H360" s="3"/>
      <x:c r="L360" s="3"/>
      <x:c r="M360" s="3"/>
    </x:row>
    <x:row r="361" spans="3:13">
      <x:c r="C361" s="6" t="e">
        <x:f>LEFT(H361,SEARCH("]",H361))</x:f>
        <x:v>#VALUE!</x:v>
      </x:c>
      <x:c r="D361" s="5" t="e">
        <x:f>MID(H361,SEARCH("]",H361)+1,200)</x:f>
        <x:v>#VALUE!</x:v>
      </x:c>
      <x:c r="H361" s="3"/>
      <x:c r="L361" s="3"/>
      <x:c r="M361" s="3"/>
    </x:row>
    <x:row r="362" spans="3:13">
      <x:c r="C362" s="6" t="e">
        <x:f>LEFT(H362,SEARCH("]",H362))</x:f>
        <x:v>#VALUE!</x:v>
      </x:c>
      <x:c r="D362" s="5" t="e">
        <x:f>MID(H362,SEARCH("]",H362)+1,200)</x:f>
        <x:v>#VALUE!</x:v>
      </x:c>
      <x:c r="H362" s="3"/>
      <x:c r="L362" s="3"/>
      <x:c r="M362" s="3"/>
    </x:row>
    <x:row r="363" spans="3:13">
      <x:c r="C363" s="6" t="e">
        <x:f>LEFT(H363,SEARCH("]",H363))</x:f>
        <x:v>#VALUE!</x:v>
      </x:c>
      <x:c r="D363" s="5" t="e">
        <x:f>MID(H363,SEARCH("]",H363)+1,200)</x:f>
        <x:v>#VALUE!</x:v>
      </x:c>
      <x:c r="H363" s="3"/>
      <x:c r="L363" s="3"/>
      <x:c r="M363" s="3"/>
    </x:row>
    <x:row r="364" spans="3:13">
      <x:c r="C364" s="6" t="e">
        <x:f>LEFT(H364,SEARCH("]",H364))</x:f>
        <x:v>#VALUE!</x:v>
      </x:c>
      <x:c r="D364" s="5" t="e">
        <x:f>MID(H364,SEARCH("]",H364)+1,200)</x:f>
        <x:v>#VALUE!</x:v>
      </x:c>
      <x:c r="H364" s="3"/>
      <x:c r="L364" s="3"/>
      <x:c r="M364" s="3"/>
    </x:row>
    <x:row r="365" spans="3:13">
      <x:c r="C365" s="6" t="e">
        <x:f>LEFT(H365,SEARCH("]",H365))</x:f>
        <x:v>#VALUE!</x:v>
      </x:c>
      <x:c r="D365" s="5" t="e">
        <x:f>MID(H365,SEARCH("]",H365)+1,200)</x:f>
        <x:v>#VALUE!</x:v>
      </x:c>
      <x:c r="H365" s="3"/>
      <x:c r="L365" s="3"/>
      <x:c r="M365" s="3"/>
    </x:row>
    <x:row r="366" spans="3:13">
      <x:c r="C366" s="6" t="e">
        <x:f>LEFT(H366,SEARCH("]",H366))</x:f>
        <x:v>#VALUE!</x:v>
      </x:c>
      <x:c r="D366" s="5" t="e">
        <x:f>MID(H366,SEARCH("]",H366)+1,200)</x:f>
        <x:v>#VALUE!</x:v>
      </x:c>
      <x:c r="H366" s="3"/>
      <x:c r="L366" s="3"/>
      <x:c r="M366" s="3"/>
    </x:row>
    <x:row r="367" spans="3:13">
      <x:c r="C367" s="6" t="e">
        <x:f>LEFT(H367,SEARCH("]",H367))</x:f>
        <x:v>#VALUE!</x:v>
      </x:c>
      <x:c r="D367" s="5" t="e">
        <x:f>MID(H367,SEARCH("]",H367)+1,200)</x:f>
        <x:v>#VALUE!</x:v>
      </x:c>
      <x:c r="H367" s="3"/>
      <x:c r="L367" s="3"/>
      <x:c r="M367" s="3"/>
    </x:row>
    <x:row r="368" spans="3:13">
      <x:c r="C368" s="6" t="e">
        <x:f>LEFT(H368,SEARCH("]",H368))</x:f>
        <x:v>#VALUE!</x:v>
      </x:c>
      <x:c r="D368" s="5" t="e">
        <x:f>MID(H368,SEARCH("]",H368)+1,200)</x:f>
        <x:v>#VALUE!</x:v>
      </x:c>
      <x:c r="H368" s="3"/>
      <x:c r="L368" s="3"/>
      <x:c r="M368" s="3"/>
    </x:row>
    <x:row r="369" spans="3:13">
      <x:c r="C369" s="6" t="e">
        <x:f>LEFT(H369,SEARCH("]",H369))</x:f>
        <x:v>#VALUE!</x:v>
      </x:c>
      <x:c r="D369" s="5" t="e">
        <x:f>MID(H369,SEARCH("]",H369)+1,200)</x:f>
        <x:v>#VALUE!</x:v>
      </x:c>
      <x:c r="H369" s="3"/>
      <x:c r="L369" s="3"/>
      <x:c r="M369" s="3"/>
    </x:row>
    <x:row r="370" spans="3:13">
      <x:c r="C370" s="6" t="e">
        <x:f>LEFT(H370,SEARCH("]",H370))</x:f>
        <x:v>#VALUE!</x:v>
      </x:c>
      <x:c r="D370" s="5" t="e">
        <x:f>MID(H370,SEARCH("]",H370)+1,200)</x:f>
        <x:v>#VALUE!</x:v>
      </x:c>
      <x:c r="H370" s="3"/>
      <x:c r="L370" s="3"/>
      <x:c r="M370" s="3"/>
    </x:row>
    <x:row r="371" spans="3:13">
      <x:c r="C371" s="6" t="e">
        <x:f>LEFT(H371,SEARCH("]",H371))</x:f>
        <x:v>#VALUE!</x:v>
      </x:c>
      <x:c r="D371" s="5" t="e">
        <x:f>MID(H371,SEARCH("]",H371)+1,200)</x:f>
        <x:v>#VALUE!</x:v>
      </x:c>
      <x:c r="H371" s="3"/>
      <x:c r="L371" s="3"/>
      <x:c r="M371" s="3"/>
    </x:row>
    <x:row r="372" spans="3:13">
      <x:c r="C372" s="6" t="e">
        <x:f>LEFT(H372,SEARCH("]",H372))</x:f>
        <x:v>#VALUE!</x:v>
      </x:c>
      <x:c r="D372" s="5" t="e">
        <x:f>MID(H372,SEARCH("]",H372)+1,200)</x:f>
        <x:v>#VALUE!</x:v>
      </x:c>
      <x:c r="H372" s="3"/>
      <x:c r="L372" s="3"/>
      <x:c r="M372" s="3"/>
    </x:row>
    <x:row r="373" spans="3:13">
      <x:c r="C373" s="6" t="e">
        <x:f>LEFT(H373,SEARCH("]",H373))</x:f>
        <x:v>#VALUE!</x:v>
      </x:c>
      <x:c r="D373" s="5" t="e">
        <x:f>MID(H373,SEARCH("]",H373)+1,200)</x:f>
        <x:v>#VALUE!</x:v>
      </x:c>
      <x:c r="H373" s="3"/>
      <x:c r="L373" s="3"/>
      <x:c r="M373" s="3"/>
    </x:row>
    <x:row r="374" spans="3:13">
      <x:c r="C374" s="6" t="e">
        <x:f>LEFT(H374,SEARCH("]",H374))</x:f>
        <x:v>#VALUE!</x:v>
      </x:c>
      <x:c r="D374" s="5" t="e">
        <x:f>MID(H374,SEARCH("]",H374)+1,200)</x:f>
        <x:v>#VALUE!</x:v>
      </x:c>
      <x:c r="H374" s="3"/>
      <x:c r="L374" s="3"/>
      <x:c r="M374" s="3"/>
    </x:row>
    <x:row r="375" spans="3:13">
      <x:c r="C375" s="6" t="e">
        <x:f>LEFT(H375,SEARCH("]",H375))</x:f>
        <x:v>#VALUE!</x:v>
      </x:c>
      <x:c r="D375" s="5" t="e">
        <x:f>MID(H375,SEARCH("]",H375)+1,200)</x:f>
        <x:v>#VALUE!</x:v>
      </x:c>
      <x:c r="H375" s="3"/>
      <x:c r="L375" s="3"/>
      <x:c r="M375" s="3"/>
    </x:row>
    <x:row r="376" spans="3:13">
      <x:c r="C376" s="6" t="e">
        <x:f>LEFT(H376,SEARCH("]",H376))</x:f>
        <x:v>#VALUE!</x:v>
      </x:c>
      <x:c r="D376" s="5" t="e">
        <x:f>MID(H376,SEARCH("]",H376)+1,200)</x:f>
        <x:v>#VALUE!</x:v>
      </x:c>
      <x:c r="H376" s="3"/>
      <x:c r="L376" s="3"/>
      <x:c r="M376" s="3"/>
    </x:row>
    <x:row r="377" spans="3:13">
      <x:c r="C377" s="6" t="e">
        <x:f>LEFT(H377,SEARCH("]",H377))</x:f>
        <x:v>#VALUE!</x:v>
      </x:c>
      <x:c r="D377" s="5" t="e">
        <x:f>MID(H377,SEARCH("]",H377)+1,200)</x:f>
        <x:v>#VALUE!</x:v>
      </x:c>
      <x:c r="H377" s="3"/>
      <x:c r="L377" s="3"/>
      <x:c r="M377" s="3"/>
    </x:row>
    <x:row r="378" spans="3:13">
      <x:c r="C378" s="6" t="e">
        <x:f>LEFT(H378,SEARCH("]",H378))</x:f>
        <x:v>#VALUE!</x:v>
      </x:c>
      <x:c r="D378" s="5" t="e">
        <x:f>MID(H378,SEARCH("]",H378)+1,200)</x:f>
        <x:v>#VALUE!</x:v>
      </x:c>
      <x:c r="H378" s="3"/>
      <x:c r="L378" s="3"/>
      <x:c r="M378" s="3"/>
    </x:row>
    <x:row r="379" spans="3:13">
      <x:c r="C379" s="6" t="e">
        <x:f>LEFT(H379,SEARCH("]",H379))</x:f>
        <x:v>#VALUE!</x:v>
      </x:c>
      <x:c r="D379" s="5" t="e">
        <x:f>MID(H379,SEARCH("]",H379)+1,200)</x:f>
        <x:v>#VALUE!</x:v>
      </x:c>
      <x:c r="H379" s="3"/>
      <x:c r="L379" s="3"/>
      <x:c r="M379" s="3"/>
    </x:row>
    <x:row r="380" spans="3:13">
      <x:c r="C380" s="6" t="e">
        <x:f>LEFT(H380,SEARCH("]",H380))</x:f>
        <x:v>#VALUE!</x:v>
      </x:c>
      <x:c r="D380" s="5" t="e">
        <x:f>MID(H380,SEARCH("]",H380)+1,200)</x:f>
        <x:v>#VALUE!</x:v>
      </x:c>
      <x:c r="H380" s="3"/>
      <x:c r="L380" s="3"/>
      <x:c r="M380" s="3"/>
    </x:row>
    <x:row r="381" spans="3:13">
      <x:c r="C381" s="6" t="e">
        <x:f>LEFT(H381,SEARCH("]",H381))</x:f>
        <x:v>#VALUE!</x:v>
      </x:c>
      <x:c r="D381" s="5" t="e">
        <x:f>MID(H381,SEARCH("]",H381)+1,200)</x:f>
        <x:v>#VALUE!</x:v>
      </x:c>
      <x:c r="H381" s="3"/>
      <x:c r="L381" s="3"/>
      <x:c r="M381" s="3"/>
    </x:row>
    <x:row r="382" spans="3:13">
      <x:c r="C382" s="6" t="e">
        <x:f>LEFT(H382,SEARCH("]",H382))</x:f>
        <x:v>#VALUE!</x:v>
      </x:c>
      <x:c r="D382" s="5" t="e">
        <x:f>MID(H382,SEARCH("]",H382)+1,200)</x:f>
        <x:v>#VALUE!</x:v>
      </x:c>
      <x:c r="H382" s="3"/>
      <x:c r="L382" s="3"/>
      <x:c r="M382" s="3"/>
    </x:row>
    <x:row r="383" spans="3:13">
      <x:c r="C383" s="6" t="e">
        <x:f>LEFT(H383,SEARCH("]",H383))</x:f>
        <x:v>#VALUE!</x:v>
      </x:c>
      <x:c r="D383" s="5" t="e">
        <x:f>MID(H383,SEARCH("]",H383)+1,200)</x:f>
        <x:v>#VALUE!</x:v>
      </x:c>
      <x:c r="H383" s="3"/>
      <x:c r="L383" s="3"/>
      <x:c r="M383" s="3"/>
    </x:row>
    <x:row r="384" spans="3:13">
      <x:c r="C384" s="6" t="e">
        <x:f>LEFT(H384,SEARCH("]",H384))</x:f>
        <x:v>#VALUE!</x:v>
      </x:c>
      <x:c r="D384" s="5" t="e">
        <x:f>MID(H384,SEARCH("]",H384)+1,200)</x:f>
        <x:v>#VALUE!</x:v>
      </x:c>
      <x:c r="H384" s="3"/>
      <x:c r="L384" s="3"/>
      <x:c r="M384" s="3"/>
    </x:row>
    <x:row r="385" spans="3:13">
      <x:c r="C385" s="6" t="e">
        <x:f>LEFT(H385,SEARCH("]",H385))</x:f>
        <x:v>#VALUE!</x:v>
      </x:c>
      <x:c r="D385" s="5" t="e">
        <x:f>MID(H385,SEARCH("]",H385)+1,200)</x:f>
        <x:v>#VALUE!</x:v>
      </x:c>
      <x:c r="H385" s="3"/>
      <x:c r="L385" s="3"/>
      <x:c r="M385" s="3"/>
    </x:row>
    <x:row r="386" spans="3:13">
      <x:c r="C386" s="6" t="e">
        <x:f>LEFT(H386,SEARCH("]",H386))</x:f>
        <x:v>#VALUE!</x:v>
      </x:c>
      <x:c r="D386" s="5" t="e">
        <x:f>MID(H386,SEARCH("]",H386)+1,200)</x:f>
        <x:v>#VALUE!</x:v>
      </x:c>
      <x:c r="H386" s="3"/>
      <x:c r="L386" s="3"/>
      <x:c r="M386" s="3"/>
    </x:row>
    <x:row r="387" spans="3:13">
      <x:c r="C387" s="6" t="e">
        <x:f>LEFT(H387,SEARCH("]",H387))</x:f>
        <x:v>#VALUE!</x:v>
      </x:c>
      <x:c r="D387" s="5" t="e">
        <x:f>MID(H387,SEARCH("]",H387)+1,200)</x:f>
        <x:v>#VALUE!</x:v>
      </x:c>
      <x:c r="H387" s="3"/>
      <x:c r="L387" s="3"/>
      <x:c r="M387" s="3"/>
    </x:row>
    <x:row r="388" spans="3:13">
      <x:c r="C388" s="6" t="e">
        <x:f>LEFT(H388,SEARCH("]",H388))</x:f>
        <x:v>#VALUE!</x:v>
      </x:c>
      <x:c r="D388" s="5" t="e">
        <x:f>MID(H388,SEARCH("]",H388)+1,200)</x:f>
        <x:v>#VALUE!</x:v>
      </x:c>
      <x:c r="H388" s="3"/>
      <x:c r="L388" s="3"/>
      <x:c r="M388" s="3"/>
    </x:row>
    <x:row r="389" spans="3:13">
      <x:c r="C389" s="6" t="e">
        <x:f>LEFT(H389,SEARCH("]",H389))</x:f>
        <x:v>#VALUE!</x:v>
      </x:c>
      <x:c r="D389" s="5" t="e">
        <x:f>MID(H389,SEARCH("]",H389)+1,200)</x:f>
        <x:v>#VALUE!</x:v>
      </x:c>
      <x:c r="H389" s="3"/>
      <x:c r="L389" s="3"/>
      <x:c r="M389" s="3"/>
    </x:row>
    <x:row r="390" spans="3:13">
      <x:c r="C390" s="6" t="e">
        <x:f>LEFT(H390,SEARCH("]",H390))</x:f>
        <x:v>#VALUE!</x:v>
      </x:c>
      <x:c r="D390" s="5" t="e">
        <x:f>MID(H390,SEARCH("]",H390)+1,200)</x:f>
        <x:v>#VALUE!</x:v>
      </x:c>
      <x:c r="H390" s="3"/>
      <x:c r="L390" s="3"/>
      <x:c r="M390" s="3"/>
    </x:row>
    <x:row r="391" spans="3:13">
      <x:c r="C391" s="6" t="e">
        <x:f>LEFT(H391,SEARCH("]",H391))</x:f>
        <x:v>#VALUE!</x:v>
      </x:c>
      <x:c r="D391" s="5" t="e">
        <x:f>MID(H391,SEARCH("]",H391)+1,200)</x:f>
        <x:v>#VALUE!</x:v>
      </x:c>
      <x:c r="H391" s="3"/>
      <x:c r="L391" s="3"/>
      <x:c r="M391" s="3"/>
    </x:row>
    <x:row r="392" spans="3:13">
      <x:c r="C392" s="6" t="e">
        <x:f>LEFT(H392,SEARCH("]",H392))</x:f>
        <x:v>#VALUE!</x:v>
      </x:c>
      <x:c r="D392" s="5" t="e">
        <x:f>MID(H392,SEARCH("]",H392)+1,200)</x:f>
        <x:v>#VALUE!</x:v>
      </x:c>
      <x:c r="H392" s="3"/>
      <x:c r="L392" s="3"/>
      <x:c r="M392" s="3"/>
    </x:row>
    <x:row r="393" spans="3:13">
      <x:c r="C393" s="6" t="e">
        <x:f>LEFT(H393,SEARCH("]",H393))</x:f>
        <x:v>#VALUE!</x:v>
      </x:c>
      <x:c r="D393" s="5" t="e">
        <x:f>MID(H393,SEARCH("]",H393)+1,200)</x:f>
        <x:v>#VALUE!</x:v>
      </x:c>
      <x:c r="H393" s="3"/>
      <x:c r="L393" s="3"/>
      <x:c r="M393" s="3"/>
    </x:row>
    <x:row r="394" spans="3:13">
      <x:c r="C394" s="6" t="e">
        <x:f>LEFT(H394,SEARCH("]",H394))</x:f>
        <x:v>#VALUE!</x:v>
      </x:c>
      <x:c r="D394" s="5" t="e">
        <x:f>MID(H394,SEARCH("]",H394)+1,200)</x:f>
        <x:v>#VALUE!</x:v>
      </x:c>
      <x:c r="H394" s="3"/>
      <x:c r="L394" s="3"/>
      <x:c r="M394" s="3"/>
    </x:row>
    <x:row r="395" spans="3:13">
      <x:c r="C395" s="6" t="e">
        <x:f>LEFT(H395,SEARCH("]",H395))</x:f>
        <x:v>#VALUE!</x:v>
      </x:c>
      <x:c r="D395" s="5" t="e">
        <x:f>MID(H395,SEARCH("]",H395)+1,200)</x:f>
        <x:v>#VALUE!</x:v>
      </x:c>
      <x:c r="H395" s="3"/>
      <x:c r="L395" s="3"/>
      <x:c r="M395" s="3"/>
    </x:row>
    <x:row r="396" spans="3:13">
      <x:c r="C396" s="6" t="e">
        <x:f>LEFT(H396,SEARCH("]",H396))</x:f>
        <x:v>#VALUE!</x:v>
      </x:c>
      <x:c r="D396" s="5" t="e">
        <x:f>MID(H396,SEARCH("]",H396)+1,200)</x:f>
        <x:v>#VALUE!</x:v>
      </x:c>
      <x:c r="H396" s="3"/>
      <x:c r="L396" s="3"/>
      <x:c r="M396" s="3"/>
    </x:row>
    <x:row r="397" spans="3:13">
      <x:c r="C397" s="6" t="e">
        <x:f>LEFT(H397,SEARCH("]",H397))</x:f>
        <x:v>#VALUE!</x:v>
      </x:c>
      <x:c r="D397" s="5" t="e">
        <x:f>MID(H397,SEARCH("]",H397)+1,200)</x:f>
        <x:v>#VALUE!</x:v>
      </x:c>
      <x:c r="H397" s="3"/>
      <x:c r="L397" s="3"/>
      <x:c r="M397" s="3"/>
    </x:row>
    <x:row r="398" spans="3:13">
      <x:c r="C398" s="6" t="e">
        <x:f>LEFT(H398,SEARCH("]",H398))</x:f>
        <x:v>#VALUE!</x:v>
      </x:c>
      <x:c r="D398" s="5" t="e">
        <x:f>MID(H398,SEARCH("]",H398)+1,200)</x:f>
        <x:v>#VALUE!</x:v>
      </x:c>
      <x:c r="H398" s="3"/>
      <x:c r="L398" s="3"/>
      <x:c r="M398" s="3"/>
    </x:row>
    <x:row r="399" spans="3:13">
      <x:c r="C399" s="6" t="e">
        <x:f>LEFT(H399,SEARCH("]",H399))</x:f>
        <x:v>#VALUE!</x:v>
      </x:c>
      <x:c r="D399" s="5" t="e">
        <x:f>MID(H399,SEARCH("]",H399)+1,200)</x:f>
        <x:v>#VALUE!</x:v>
      </x:c>
      <x:c r="H399" s="3"/>
      <x:c r="L399" s="3"/>
      <x:c r="M399" s="3"/>
    </x:row>
    <x:row r="400" spans="3:13">
      <x:c r="C400" s="6" t="e">
        <x:f>LEFT(H400,SEARCH("]",H400))</x:f>
        <x:v>#VALUE!</x:v>
      </x:c>
      <x:c r="D400" s="5" t="e">
        <x:f>MID(H400,SEARCH("]",H400)+1,200)</x:f>
        <x:v>#VALUE!</x:v>
      </x:c>
      <x:c r="H400" s="3"/>
      <x:c r="L400" s="3"/>
      <x:c r="M400" s="3"/>
    </x:row>
    <x:row r="401" spans="3:13">
      <x:c r="C401" s="6" t="e">
        <x:f>LEFT(H401,SEARCH("]",H401))</x:f>
        <x:v>#VALUE!</x:v>
      </x:c>
      <x:c r="D401" s="5" t="e">
        <x:f>MID(H401,SEARCH("]",H401)+1,200)</x:f>
        <x:v>#VALUE!</x:v>
      </x:c>
      <x:c r="H401" s="3"/>
      <x:c r="L401" s="3"/>
      <x:c r="M401" s="3"/>
    </x:row>
    <x:row r="402" spans="3:13">
      <x:c r="C402" s="6" t="e">
        <x:f>LEFT(H402,SEARCH("]",H402))</x:f>
        <x:v>#VALUE!</x:v>
      </x:c>
      <x:c r="D402" s="5" t="e">
        <x:f>MID(H402,SEARCH("]",H402)+1,200)</x:f>
        <x:v>#VALUE!</x:v>
      </x:c>
      <x:c r="H402" s="3"/>
      <x:c r="L402" s="3"/>
      <x:c r="M402" s="3"/>
    </x:row>
    <x:row r="403" spans="3:13">
      <x:c r="C403" s="6" t="e">
        <x:f>LEFT(H403,SEARCH("]",H403))</x:f>
        <x:v>#VALUE!</x:v>
      </x:c>
      <x:c r="D403" s="5" t="e">
        <x:f>MID(H403,SEARCH("]",H403)+1,200)</x:f>
        <x:v>#VALUE!</x:v>
      </x:c>
      <x:c r="H403" s="3"/>
      <x:c r="L403" s="3"/>
      <x:c r="M403" s="3"/>
    </x:row>
    <x:row r="404" spans="3:13">
      <x:c r="C404" s="6" t="e">
        <x:f>LEFT(H404,SEARCH("]",H404))</x:f>
        <x:v>#VALUE!</x:v>
      </x:c>
      <x:c r="D404" s="5" t="e">
        <x:f>MID(H404,SEARCH("]",H404)+1,200)</x:f>
        <x:v>#VALUE!</x:v>
      </x:c>
      <x:c r="H404" s="3"/>
      <x:c r="L404" s="3"/>
      <x:c r="M404" s="3"/>
    </x:row>
    <x:row r="405" spans="3:13">
      <x:c r="C405" s="6" t="e">
        <x:f>LEFT(H405,SEARCH("]",H405))</x:f>
        <x:v>#VALUE!</x:v>
      </x:c>
      <x:c r="D405" s="5" t="e">
        <x:f>MID(H405,SEARCH("]",H405)+1,200)</x:f>
        <x:v>#VALUE!</x:v>
      </x:c>
      <x:c r="H405" s="3"/>
      <x:c r="L405" s="3"/>
      <x:c r="M405" s="3"/>
    </x:row>
    <x:row r="406" spans="3:13">
      <x:c r="C406" s="6" t="e">
        <x:f>LEFT(H406,SEARCH("]",H406))</x:f>
        <x:v>#VALUE!</x:v>
      </x:c>
      <x:c r="D406" s="5" t="e">
        <x:f>MID(H406,SEARCH("]",H406)+1,200)</x:f>
        <x:v>#VALUE!</x:v>
      </x:c>
      <x:c r="H406" s="3"/>
      <x:c r="L406" s="3"/>
      <x:c r="M406" s="3"/>
    </x:row>
    <x:row r="407" spans="3:13">
      <x:c r="C407" s="6" t="e">
        <x:f>LEFT(H407,SEARCH("]",H407))</x:f>
        <x:v>#VALUE!</x:v>
      </x:c>
      <x:c r="D407" s="5" t="e">
        <x:f>MID(H407,SEARCH("]",H407)+1,200)</x:f>
        <x:v>#VALUE!</x:v>
      </x:c>
      <x:c r="H407" s="3"/>
      <x:c r="L407" s="3"/>
      <x:c r="M407" s="3"/>
    </x:row>
    <x:row r="408" spans="3:13">
      <x:c r="C408" s="6" t="e">
        <x:f>LEFT(H408,SEARCH("]",H408))</x:f>
        <x:v>#VALUE!</x:v>
      </x:c>
      <x:c r="D408" s="5" t="e">
        <x:f>MID(H408,SEARCH("]",H408)+1,200)</x:f>
        <x:v>#VALUE!</x:v>
      </x:c>
      <x:c r="H408" s="3"/>
      <x:c r="L408" s="3"/>
      <x:c r="M408" s="3"/>
    </x:row>
    <x:row r="409" spans="3:13">
      <x:c r="C409" s="6" t="e">
        <x:f>LEFT(H409,SEARCH("]",H409))</x:f>
        <x:v>#VALUE!</x:v>
      </x:c>
      <x:c r="D409" s="5" t="e">
        <x:f>MID(H409,SEARCH("]",H409)+1,200)</x:f>
        <x:v>#VALUE!</x:v>
      </x:c>
      <x:c r="H409" s="3"/>
      <x:c r="L409" s="3"/>
      <x:c r="M409" s="3"/>
    </x:row>
    <x:row r="410" spans="3:13">
      <x:c r="C410" s="6" t="e">
        <x:f>LEFT(H410,SEARCH("]",H410))</x:f>
        <x:v>#VALUE!</x:v>
      </x:c>
      <x:c r="D410" s="5" t="e">
        <x:f>MID(H410,SEARCH("]",H410)+1,200)</x:f>
        <x:v>#VALUE!</x:v>
      </x:c>
      <x:c r="H410" s="3"/>
      <x:c r="L410" s="3"/>
      <x:c r="M410" s="3"/>
    </x:row>
    <x:row r="411" spans="3:13">
      <x:c r="C411" s="6" t="e">
        <x:f>LEFT(H411,SEARCH("]",H411))</x:f>
        <x:v>#VALUE!</x:v>
      </x:c>
      <x:c r="D411" s="5" t="e">
        <x:f>MID(H411,SEARCH("]",H411)+1,200)</x:f>
        <x:v>#VALUE!</x:v>
      </x:c>
      <x:c r="H411" s="3"/>
      <x:c r="L411" s="3"/>
      <x:c r="M411" s="3"/>
    </x:row>
    <x:row r="412" spans="3:13">
      <x:c r="C412" s="6" t="e">
        <x:f>LEFT(H412,SEARCH("]",H412))</x:f>
        <x:v>#VALUE!</x:v>
      </x:c>
      <x:c r="D412" s="5" t="e">
        <x:f>MID(H412,SEARCH("]",H412)+1,200)</x:f>
        <x:v>#VALUE!</x:v>
      </x:c>
      <x:c r="H412" s="3"/>
      <x:c r="L412" s="3"/>
      <x:c r="M412" s="3"/>
    </x:row>
    <x:row r="413" spans="3:13">
      <x:c r="C413" s="6" t="e">
        <x:f>LEFT(H413,SEARCH("]",H413))</x:f>
        <x:v>#VALUE!</x:v>
      </x:c>
      <x:c r="D413" s="5" t="e">
        <x:f>MID(H413,SEARCH("]",H413)+1,200)</x:f>
        <x:v>#VALUE!</x:v>
      </x:c>
      <x:c r="H413" s="3"/>
      <x:c r="L413" s="3"/>
      <x:c r="M413" s="3"/>
    </x:row>
    <x:row r="414" spans="3:13">
      <x:c r="C414" s="6" t="e">
        <x:f>LEFT(H414,SEARCH("]",H414))</x:f>
        <x:v>#VALUE!</x:v>
      </x:c>
      <x:c r="D414" s="5" t="e">
        <x:f>MID(H414,SEARCH("]",H414)+1,200)</x:f>
        <x:v>#VALUE!</x:v>
      </x:c>
      <x:c r="H414" s="3"/>
      <x:c r="L414" s="3"/>
      <x:c r="M414" s="3"/>
    </x:row>
    <x:row r="415" spans="3:13">
      <x:c r="C415" s="6" t="e">
        <x:f>LEFT(H415,SEARCH("]",H415))</x:f>
        <x:v>#VALUE!</x:v>
      </x:c>
      <x:c r="D415" s="5" t="e">
        <x:f>MID(H415,SEARCH("]",H415)+1,200)</x:f>
        <x:v>#VALUE!</x:v>
      </x:c>
      <x:c r="H415" s="3"/>
      <x:c r="L415" s="3"/>
      <x:c r="M415" s="3"/>
    </x:row>
    <x:row r="416" spans="3:13">
      <x:c r="C416" s="6" t="e">
        <x:f>LEFT(H416,SEARCH("]",H416))</x:f>
        <x:v>#VALUE!</x:v>
      </x:c>
      <x:c r="D416" s="5" t="e">
        <x:f>MID(H416,SEARCH("]",H416)+1,200)</x:f>
        <x:v>#VALUE!</x:v>
      </x:c>
      <x:c r="H416" s="3"/>
      <x:c r="L416" s="3"/>
      <x:c r="M416" s="3"/>
    </x:row>
    <x:row r="417" spans="3:13">
      <x:c r="C417" s="6" t="e">
        <x:f>LEFT(H417,SEARCH("]",H417))</x:f>
        <x:v>#VALUE!</x:v>
      </x:c>
      <x:c r="D417" s="5" t="e">
        <x:f>MID(H417,SEARCH("]",H417)+1,200)</x:f>
        <x:v>#VALUE!</x:v>
      </x:c>
      <x:c r="H417" s="3"/>
      <x:c r="L417" s="3"/>
      <x:c r="M417" s="3"/>
    </x:row>
    <x:row r="418" spans="3:13">
      <x:c r="C418" s="6" t="e">
        <x:f>LEFT(H418,SEARCH("]",H418))</x:f>
        <x:v>#VALUE!</x:v>
      </x:c>
      <x:c r="D418" s="5" t="e">
        <x:f>MID(H418,SEARCH("]",H418)+1,200)</x:f>
        <x:v>#VALUE!</x:v>
      </x:c>
      <x:c r="H418" s="3"/>
      <x:c r="L418" s="3"/>
      <x:c r="M418" s="3"/>
    </x:row>
    <x:row r="419" spans="3:13">
      <x:c r="C419" s="6" t="e">
        <x:f>LEFT(H419,SEARCH("]",H419))</x:f>
        <x:v>#VALUE!</x:v>
      </x:c>
      <x:c r="D419" s="5" t="e">
        <x:f>MID(H419,SEARCH("]",H419)+1,200)</x:f>
        <x:v>#VALUE!</x:v>
      </x:c>
      <x:c r="H419" s="3"/>
      <x:c r="L419" s="3"/>
      <x:c r="M419" s="3"/>
    </x:row>
    <x:row r="420" spans="3:13">
      <x:c r="C420" s="6" t="e">
        <x:f>LEFT(H420,SEARCH("]",H420))</x:f>
        <x:v>#VALUE!</x:v>
      </x:c>
      <x:c r="D420" s="5" t="e">
        <x:f>MID(H420,SEARCH("]",H420)+1,200)</x:f>
        <x:v>#VALUE!</x:v>
      </x:c>
      <x:c r="H420" s="3"/>
      <x:c r="L420" s="3"/>
      <x:c r="M420" s="3"/>
    </x:row>
    <x:row r="421" spans="3:13">
      <x:c r="C421" s="6" t="e">
        <x:f>LEFT(H421,SEARCH("]",H421))</x:f>
        <x:v>#VALUE!</x:v>
      </x:c>
      <x:c r="D421" s="5" t="e">
        <x:f>MID(H421,SEARCH("]",H421)+1,200)</x:f>
        <x:v>#VALUE!</x:v>
      </x:c>
      <x:c r="H421" s="3"/>
      <x:c r="L421" s="3"/>
      <x:c r="M421" s="3"/>
    </x:row>
    <x:row r="422" spans="3:13">
      <x:c r="C422" s="6" t="e">
        <x:f>LEFT(H422,SEARCH("]",H422))</x:f>
        <x:v>#VALUE!</x:v>
      </x:c>
      <x:c r="D422" s="5" t="e">
        <x:f>MID(H422,SEARCH("]",H422)+1,200)</x:f>
        <x:v>#VALUE!</x:v>
      </x:c>
      <x:c r="H422" s="3"/>
      <x:c r="L422" s="3"/>
      <x:c r="M422" s="3"/>
    </x:row>
    <x:row r="423" spans="3:13">
      <x:c r="C423" s="6" t="e">
        <x:f>LEFT(H423,SEARCH("]",H423))</x:f>
        <x:v>#VALUE!</x:v>
      </x:c>
      <x:c r="D423" s="5" t="e">
        <x:f>MID(H423,SEARCH("]",H423)+1,200)</x:f>
        <x:v>#VALUE!</x:v>
      </x:c>
      <x:c r="H423" s="3"/>
      <x:c r="L423" s="3"/>
      <x:c r="M423" s="3"/>
    </x:row>
    <x:row r="424" spans="3:13">
      <x:c r="C424" s="6" t="e">
        <x:f>LEFT(H424,SEARCH("]",H424))</x:f>
        <x:v>#VALUE!</x:v>
      </x:c>
      <x:c r="D424" s="5" t="e">
        <x:f>MID(H424,SEARCH("]",H424)+1,200)</x:f>
        <x:v>#VALUE!</x:v>
      </x:c>
      <x:c r="H424" s="3"/>
      <x:c r="L424" s="3"/>
      <x:c r="M424" s="3"/>
    </x:row>
    <x:row r="425" spans="3:13">
      <x:c r="C425" s="6" t="e">
        <x:f>LEFT(H425,SEARCH("]",H425))</x:f>
        <x:v>#VALUE!</x:v>
      </x:c>
      <x:c r="D425" s="5" t="e">
        <x:f>MID(H425,SEARCH("]",H425)+1,200)</x:f>
        <x:v>#VALUE!</x:v>
      </x:c>
      <x:c r="H425" s="3"/>
      <x:c r="L425" s="3"/>
      <x:c r="M425" s="3"/>
    </x:row>
    <x:row r="426" spans="3:13">
      <x:c r="C426" s="6" t="e">
        <x:f>LEFT(H426,SEARCH("]",H426))</x:f>
        <x:v>#VALUE!</x:v>
      </x:c>
      <x:c r="D426" s="5" t="e">
        <x:f>MID(H426,SEARCH("]",H426)+1,200)</x:f>
        <x:v>#VALUE!</x:v>
      </x:c>
      <x:c r="H426" s="3"/>
      <x:c r="L426" s="3"/>
      <x:c r="M426" s="3"/>
    </x:row>
    <x:row r="427" spans="3:13">
      <x:c r="C427" s="6" t="e">
        <x:f>LEFT(H427,SEARCH("]",H427))</x:f>
        <x:v>#VALUE!</x:v>
      </x:c>
      <x:c r="D427" s="5" t="e">
        <x:f>MID(H427,SEARCH("]",H427)+1,200)</x:f>
        <x:v>#VALUE!</x:v>
      </x:c>
      <x:c r="H427" s="3"/>
      <x:c r="L427" s="3"/>
      <x:c r="M427" s="3"/>
    </x:row>
    <x:row r="428" spans="3:13">
      <x:c r="C428" s="6" t="e">
        <x:f>LEFT(H428,SEARCH("]",H428))</x:f>
        <x:v>#VALUE!</x:v>
      </x:c>
      <x:c r="D428" s="5" t="e">
        <x:f>MID(H428,SEARCH("]",H428)+1,200)</x:f>
        <x:v>#VALUE!</x:v>
      </x:c>
      <x:c r="H428" s="3"/>
      <x:c r="L428" s="3"/>
      <x:c r="M428" s="3"/>
    </x:row>
    <x:row r="429" spans="3:13">
      <x:c r="C429" s="6" t="e">
        <x:f>LEFT(H429,SEARCH("]",H429))</x:f>
        <x:v>#VALUE!</x:v>
      </x:c>
      <x:c r="D429" s="5" t="e">
        <x:f>MID(H429,SEARCH("]",H429)+1,200)</x:f>
        <x:v>#VALUE!</x:v>
      </x:c>
      <x:c r="H429" s="3"/>
      <x:c r="L429" s="3"/>
      <x:c r="M429" s="3"/>
    </x:row>
    <x:row r="430" spans="3:13">
      <x:c r="C430" s="6" t="e">
        <x:f>LEFT(H430,SEARCH("]",H430))</x:f>
        <x:v>#VALUE!</x:v>
      </x:c>
      <x:c r="D430" s="5" t="e">
        <x:f>MID(H430,SEARCH("]",H430)+1,200)</x:f>
        <x:v>#VALUE!</x:v>
      </x:c>
      <x:c r="H430" s="3"/>
      <x:c r="L430" s="3"/>
      <x:c r="M430" s="3"/>
    </x:row>
    <x:row r="431" spans="3:13">
      <x:c r="C431" s="6" t="e">
        <x:f>LEFT(H431,SEARCH("]",H431))</x:f>
        <x:v>#VALUE!</x:v>
      </x:c>
      <x:c r="D431" s="5" t="e">
        <x:f>MID(H431,SEARCH("]",H431)+1,200)</x:f>
        <x:v>#VALUE!</x:v>
      </x:c>
      <x:c r="H431" s="3"/>
      <x:c r="L431" s="3"/>
      <x:c r="M431" s="3"/>
    </x:row>
    <x:row r="432" spans="3:13">
      <x:c r="C432" s="6" t="e">
        <x:f>LEFT(H432,SEARCH("]",H432))</x:f>
        <x:v>#VALUE!</x:v>
      </x:c>
      <x:c r="D432" s="5" t="e">
        <x:f>MID(H432,SEARCH("]",H432)+1,200)</x:f>
        <x:v>#VALUE!</x:v>
      </x:c>
      <x:c r="H432" s="3"/>
      <x:c r="L432" s="3"/>
      <x:c r="M432" s="3"/>
    </x:row>
    <x:row r="433" spans="3:13">
      <x:c r="C433" s="6" t="e">
        <x:f>LEFT(H433,SEARCH("]",H433))</x:f>
        <x:v>#VALUE!</x:v>
      </x:c>
      <x:c r="D433" s="5" t="e">
        <x:f>MID(H433,SEARCH("]",H433)+1,200)</x:f>
        <x:v>#VALUE!</x:v>
      </x:c>
      <x:c r="H433" s="3"/>
      <x:c r="L433" s="3"/>
      <x:c r="M433" s="3"/>
    </x:row>
    <x:row r="434" spans="3:13">
      <x:c r="C434" s="6" t="e">
        <x:f>LEFT(H434,SEARCH("]",H434))</x:f>
        <x:v>#VALUE!</x:v>
      </x:c>
      <x:c r="D434" s="5" t="e">
        <x:f>MID(H434,SEARCH("]",H434)+1,200)</x:f>
        <x:v>#VALUE!</x:v>
      </x:c>
      <x:c r="H434" s="3"/>
      <x:c r="L434" s="3"/>
      <x:c r="M434" s="3"/>
    </x:row>
    <x:row r="435" spans="3:13">
      <x:c r="C435" s="6" t="e">
        <x:f>LEFT(H435,SEARCH("]",H435))</x:f>
        <x:v>#VALUE!</x:v>
      </x:c>
      <x:c r="D435" s="5" t="e">
        <x:f>MID(H435,SEARCH("]",H435)+1,200)</x:f>
        <x:v>#VALUE!</x:v>
      </x:c>
      <x:c r="H435" s="3"/>
      <x:c r="L435" s="3"/>
      <x:c r="M435" s="3"/>
    </x:row>
    <x:row r="436" spans="3:13">
      <x:c r="C436" s="6" t="e">
        <x:f>LEFT(H436,SEARCH("]",H436))</x:f>
        <x:v>#VALUE!</x:v>
      </x:c>
      <x:c r="D436" s="5" t="e">
        <x:f>MID(H436,SEARCH("]",H436)+1,200)</x:f>
        <x:v>#VALUE!</x:v>
      </x:c>
      <x:c r="H436" s="3"/>
      <x:c r="L436" s="3"/>
      <x:c r="M436" s="3"/>
    </x:row>
    <x:row r="437" spans="3:13">
      <x:c r="C437" s="6" t="e">
        <x:f>LEFT(H437,SEARCH("]",H437))</x:f>
        <x:v>#VALUE!</x:v>
      </x:c>
      <x:c r="D437" s="5" t="e">
        <x:f>MID(H437,SEARCH("]",H437)+1,200)</x:f>
        <x:v>#VALUE!</x:v>
      </x:c>
      <x:c r="H437" s="3"/>
      <x:c r="L437" s="3"/>
      <x:c r="M437" s="3"/>
    </x:row>
    <x:row r="438" spans="3:13">
      <x:c r="C438" s="6" t="e">
        <x:f>LEFT(H438,SEARCH("]",H438))</x:f>
        <x:v>#VALUE!</x:v>
      </x:c>
      <x:c r="D438" s="5" t="e">
        <x:f>MID(H438,SEARCH("]",H438)+1,200)</x:f>
        <x:v>#VALUE!</x:v>
      </x:c>
      <x:c r="H438" s="3"/>
      <x:c r="L438" s="3"/>
      <x:c r="M438" s="3"/>
    </x:row>
    <x:row r="439" spans="3:13">
      <x:c r="C439" s="6" t="e">
        <x:f>LEFT(H439,SEARCH("]",H439))</x:f>
        <x:v>#VALUE!</x:v>
      </x:c>
      <x:c r="D439" s="5" t="e">
        <x:f>MID(H439,SEARCH("]",H439)+1,200)</x:f>
        <x:v>#VALUE!</x:v>
      </x:c>
      <x:c r="H439" s="3"/>
      <x:c r="L439" s="3"/>
      <x:c r="M439" s="3"/>
    </x:row>
    <x:row r="440" spans="3:13">
      <x:c r="C440" s="6" t="e">
        <x:f>LEFT(H440,SEARCH("]",H440))</x:f>
        <x:v>#VALUE!</x:v>
      </x:c>
      <x:c r="D440" s="5" t="e">
        <x:f>MID(H440,SEARCH("]",H440)+1,200)</x:f>
        <x:v>#VALUE!</x:v>
      </x:c>
      <x:c r="H440" s="3"/>
      <x:c r="L440" s="3"/>
      <x:c r="M440" s="3"/>
    </x:row>
    <x:row r="441" spans="3:13">
      <x:c r="C441" s="6" t="e">
        <x:f>LEFT(H441,SEARCH("]",H441))</x:f>
        <x:v>#VALUE!</x:v>
      </x:c>
      <x:c r="D441" s="5" t="e">
        <x:f>MID(H441,SEARCH("]",H441)+1,200)</x:f>
        <x:v>#VALUE!</x:v>
      </x:c>
      <x:c r="H441" s="3"/>
      <x:c r="L441" s="3"/>
      <x:c r="M441" s="3"/>
    </x:row>
    <x:row r="442" spans="3:13">
      <x:c r="C442" s="6" t="e">
        <x:f>LEFT(H442,SEARCH("]",H442))</x:f>
        <x:v>#VALUE!</x:v>
      </x:c>
      <x:c r="D442" s="5" t="e">
        <x:f>MID(H442,SEARCH("]",H442)+1,200)</x:f>
        <x:v>#VALUE!</x:v>
      </x:c>
      <x:c r="H442" s="3"/>
      <x:c r="L442" s="3"/>
      <x:c r="M442" s="3"/>
    </x:row>
    <x:row r="443" spans="3:13">
      <x:c r="C443" s="6" t="e">
        <x:f>LEFT(H443,SEARCH("]",H443))</x:f>
        <x:v>#VALUE!</x:v>
      </x:c>
      <x:c r="D443" s="5" t="e">
        <x:f>MID(H443,SEARCH("]",H443)+1,200)</x:f>
        <x:v>#VALUE!</x:v>
      </x:c>
      <x:c r="H443" s="3"/>
      <x:c r="L443" s="3"/>
      <x:c r="M443" s="3"/>
    </x:row>
    <x:row r="444" spans="3:13">
      <x:c r="C444" s="6" t="e">
        <x:f>LEFT(H444,SEARCH("]",H444))</x:f>
        <x:v>#VALUE!</x:v>
      </x:c>
      <x:c r="D444" s="5" t="e">
        <x:f>MID(H444,SEARCH("]",H444)+1,200)</x:f>
        <x:v>#VALUE!</x:v>
      </x:c>
      <x:c r="H444" s="3"/>
      <x:c r="L444" s="3"/>
      <x:c r="M444" s="3"/>
    </x:row>
    <x:row r="445" spans="3:13">
      <x:c r="C445" s="6" t="e">
        <x:f>LEFT(H445,SEARCH("]",H445))</x:f>
        <x:v>#VALUE!</x:v>
      </x:c>
      <x:c r="D445" s="5" t="e">
        <x:f>MID(H445,SEARCH("]",H445)+1,200)</x:f>
        <x:v>#VALUE!</x:v>
      </x:c>
      <x:c r="H445" s="3"/>
      <x:c r="L445" s="3"/>
      <x:c r="M445" s="3"/>
    </x:row>
    <x:row r="446" spans="3:13">
      <x:c r="C446" s="6" t="e">
        <x:f>LEFT(H446,SEARCH("]",H446))</x:f>
        <x:v>#VALUE!</x:v>
      </x:c>
      <x:c r="D446" s="5" t="e">
        <x:f>MID(H446,SEARCH("]",H446)+1,200)</x:f>
        <x:v>#VALUE!</x:v>
      </x:c>
      <x:c r="H446" s="3"/>
      <x:c r="L446" s="3"/>
      <x:c r="M446" s="3"/>
    </x:row>
    <x:row r="447" spans="3:13">
      <x:c r="C447" s="6" t="e">
        <x:f>LEFT(H447,SEARCH("]",H447))</x:f>
        <x:v>#VALUE!</x:v>
      </x:c>
      <x:c r="D447" s="5" t="e">
        <x:f>MID(H447,SEARCH("]",H447)+1,200)</x:f>
        <x:v>#VALUE!</x:v>
      </x:c>
      <x:c r="H447" s="3"/>
      <x:c r="L447" s="3"/>
      <x:c r="M447" s="3"/>
    </x:row>
    <x:row r="448" spans="3:13">
      <x:c r="C448" s="6" t="e">
        <x:f>LEFT(H448,SEARCH("]",H448))</x:f>
        <x:v>#VALUE!</x:v>
      </x:c>
      <x:c r="D448" s="5" t="e">
        <x:f>MID(H448,SEARCH("]",H448)+1,200)</x:f>
        <x:v>#VALUE!</x:v>
      </x:c>
      <x:c r="H448" s="3"/>
      <x:c r="L448" s="3"/>
      <x:c r="M448" s="3"/>
    </x:row>
    <x:row r="449" spans="3:13">
      <x:c r="C449" s="6" t="e">
        <x:f>LEFT(H449,SEARCH("]",H449))</x:f>
        <x:v>#VALUE!</x:v>
      </x:c>
      <x:c r="D449" s="5" t="e">
        <x:f>MID(H449,SEARCH("]",H449)+1,200)</x:f>
        <x:v>#VALUE!</x:v>
      </x:c>
      <x:c r="H449" s="3"/>
      <x:c r="L449" s="3"/>
      <x:c r="M449" s="3"/>
    </x:row>
    <x:row r="450" spans="3:13">
      <x:c r="C450" s="6" t="e">
        <x:f>LEFT(H450,SEARCH("]",H450))</x:f>
        <x:v>#VALUE!</x:v>
      </x:c>
      <x:c r="D450" s="5" t="e">
        <x:f>MID(H450,SEARCH("]",H450)+1,200)</x:f>
        <x:v>#VALUE!</x:v>
      </x:c>
      <x:c r="H450" s="3"/>
      <x:c r="L450" s="3"/>
      <x:c r="M450" s="3"/>
    </x:row>
    <x:row r="451" spans="3:13">
      <x:c r="C451" s="6" t="e">
        <x:f>LEFT(H451,SEARCH("]",H451))</x:f>
        <x:v>#VALUE!</x:v>
      </x:c>
      <x:c r="D451" s="5" t="e">
        <x:f>MID(H451,SEARCH("]",H451)+1,200)</x:f>
        <x:v>#VALUE!</x:v>
      </x:c>
      <x:c r="H451" s="3"/>
      <x:c r="L451" s="3"/>
      <x:c r="M451" s="3"/>
    </x:row>
    <x:row r="452" spans="3:13">
      <x:c r="C452" s="6" t="e">
        <x:f>LEFT(H452,SEARCH("]",H452))</x:f>
        <x:v>#VALUE!</x:v>
      </x:c>
      <x:c r="D452" s="5" t="e">
        <x:f>MID(H452,SEARCH("]",H452)+1,200)</x:f>
        <x:v>#VALUE!</x:v>
      </x:c>
      <x:c r="H452" s="3"/>
      <x:c r="L452" s="3"/>
      <x:c r="M452" s="3"/>
    </x:row>
    <x:row r="453" spans="3:13">
      <x:c r="C453" s="6" t="e">
        <x:f>LEFT(H453,SEARCH("]",H453))</x:f>
        <x:v>#VALUE!</x:v>
      </x:c>
      <x:c r="D453" s="5" t="e">
        <x:f>MID(H453,SEARCH("]",H453)+1,200)</x:f>
        <x:v>#VALUE!</x:v>
      </x:c>
      <x:c r="H453" s="3"/>
      <x:c r="L453" s="3"/>
      <x:c r="M453" s="3"/>
    </x:row>
    <x:row r="454" spans="3:13">
      <x:c r="C454" s="6" t="e">
        <x:f>LEFT(H454,SEARCH("]",H454))</x:f>
        <x:v>#VALUE!</x:v>
      </x:c>
      <x:c r="D454" s="5" t="e">
        <x:f>MID(H454,SEARCH("]",H454)+1,200)</x:f>
        <x:v>#VALUE!</x:v>
      </x:c>
      <x:c r="H454" s="3"/>
      <x:c r="L454" s="3"/>
      <x:c r="M454" s="3"/>
    </x:row>
    <x:row r="455" spans="3:13">
      <x:c r="C455" s="6" t="e">
        <x:f>LEFT(H455,SEARCH("]",H455))</x:f>
        <x:v>#VALUE!</x:v>
      </x:c>
      <x:c r="D455" s="5" t="e">
        <x:f>MID(H455,SEARCH("]",H455)+1,200)</x:f>
        <x:v>#VALUE!</x:v>
      </x:c>
      <x:c r="H455" s="3"/>
      <x:c r="L455" s="3"/>
      <x:c r="M455" s="3"/>
    </x:row>
    <x:row r="456" spans="3:13">
      <x:c r="C456" s="6" t="e">
        <x:f>LEFT(H456,SEARCH("]",H456))</x:f>
        <x:v>#VALUE!</x:v>
      </x:c>
      <x:c r="D456" s="5" t="e">
        <x:f>MID(H456,SEARCH("]",H456)+1,200)</x:f>
        <x:v>#VALUE!</x:v>
      </x:c>
      <x:c r="H456" s="3"/>
      <x:c r="L456" s="3"/>
      <x:c r="M456" s="3"/>
    </x:row>
    <x:row r="457" spans="3:13">
      <x:c r="C457" s="6" t="e">
        <x:f>LEFT(H457,SEARCH("]",H457))</x:f>
        <x:v>#VALUE!</x:v>
      </x:c>
      <x:c r="D457" s="5" t="e">
        <x:f>MID(H457,SEARCH("]",H457)+1,200)</x:f>
        <x:v>#VALUE!</x:v>
      </x:c>
      <x:c r="H457" s="3"/>
      <x:c r="L457" s="3"/>
      <x:c r="M457" s="3"/>
    </x:row>
    <x:row r="458" spans="3:13">
      <x:c r="C458" s="6" t="e">
        <x:f>LEFT(H458,SEARCH("]",H458))</x:f>
        <x:v>#VALUE!</x:v>
      </x:c>
      <x:c r="D458" s="5" t="e">
        <x:f>MID(H458,SEARCH("]",H458)+1,200)</x:f>
        <x:v>#VALUE!</x:v>
      </x:c>
      <x:c r="H458" s="3"/>
      <x:c r="L458" s="3"/>
      <x:c r="M458" s="3"/>
    </x:row>
    <x:row r="459" spans="3:13">
      <x:c r="C459" s="6" t="e">
        <x:f>LEFT(H459,SEARCH("]",H459))</x:f>
        <x:v>#VALUE!</x:v>
      </x:c>
      <x:c r="D459" s="5" t="e">
        <x:f>MID(H459,SEARCH("]",H459)+1,200)</x:f>
        <x:v>#VALUE!</x:v>
      </x:c>
      <x:c r="H459" s="3"/>
      <x:c r="L459" s="3"/>
      <x:c r="M459" s="3"/>
    </x:row>
    <x:row r="460" spans="3:13">
      <x:c r="C460" s="6" t="e">
        <x:f>LEFT(H460,SEARCH("]",H460))</x:f>
        <x:v>#VALUE!</x:v>
      </x:c>
      <x:c r="D460" s="5" t="e">
        <x:f>MID(H460,SEARCH("]",H460)+1,200)</x:f>
        <x:v>#VALUE!</x:v>
      </x:c>
      <x:c r="H460" s="3"/>
      <x:c r="L460" s="3"/>
      <x:c r="M460" s="3"/>
    </x:row>
    <x:row r="461" spans="3:13">
      <x:c r="C461" s="6" t="e">
        <x:f>LEFT(H461,SEARCH("]",H461))</x:f>
        <x:v>#VALUE!</x:v>
      </x:c>
      <x:c r="D461" s="5" t="e">
        <x:f>MID(H461,SEARCH("]",H461)+1,200)</x:f>
        <x:v>#VALUE!</x:v>
      </x:c>
      <x:c r="H461" s="3"/>
      <x:c r="L461" s="3"/>
      <x:c r="M461" s="3"/>
    </x:row>
    <x:row r="462" spans="3:13">
      <x:c r="C462" s="6" t="e">
        <x:f>LEFT(H462,SEARCH("]",H462))</x:f>
        <x:v>#VALUE!</x:v>
      </x:c>
      <x:c r="D462" s="5" t="e">
        <x:f>MID(H462,SEARCH("]",H462)+1,200)</x:f>
        <x:v>#VALUE!</x:v>
      </x:c>
      <x:c r="H462" s="3"/>
      <x:c r="L462" s="3"/>
      <x:c r="M462" s="3"/>
    </x:row>
    <x:row r="463" spans="3:13">
      <x:c r="C463" s="6" t="e">
        <x:f>LEFT(H463,SEARCH("]",H463))</x:f>
        <x:v>#VALUE!</x:v>
      </x:c>
      <x:c r="D463" s="5" t="e">
        <x:f>MID(H463,SEARCH("]",H463)+1,200)</x:f>
        <x:v>#VALUE!</x:v>
      </x:c>
      <x:c r="H463" s="3"/>
      <x:c r="L463" s="3"/>
      <x:c r="M463" s="3"/>
    </x:row>
    <x:row r="464" spans="3:13">
      <x:c r="C464" s="6" t="e">
        <x:f>LEFT(H464,SEARCH("]",H464))</x:f>
        <x:v>#VALUE!</x:v>
      </x:c>
      <x:c r="D464" s="5" t="e">
        <x:f>MID(H464,SEARCH("]",H464)+1,200)</x:f>
        <x:v>#VALUE!</x:v>
      </x:c>
      <x:c r="H464" s="3"/>
      <x:c r="L464" s="3"/>
      <x:c r="M464" s="3"/>
    </x:row>
    <x:row r="465" spans="3:13">
      <x:c r="C465" s="6" t="e">
        <x:f>LEFT(H465,SEARCH("]",H465))</x:f>
        <x:v>#VALUE!</x:v>
      </x:c>
      <x:c r="D465" s="5" t="e">
        <x:f>MID(H465,SEARCH("]",H465)+1,200)</x:f>
        <x:v>#VALUE!</x:v>
      </x:c>
      <x:c r="H465" s="3"/>
      <x:c r="L465" s="3"/>
      <x:c r="M465" s="3"/>
    </x:row>
    <x:row r="466" spans="3:13">
      <x:c r="C466" s="6" t="e">
        <x:f>LEFT(H466,SEARCH("]",H466))</x:f>
        <x:v>#VALUE!</x:v>
      </x:c>
      <x:c r="D466" s="5" t="e">
        <x:f>MID(H466,SEARCH("]",H466)+1,200)</x:f>
        <x:v>#VALUE!</x:v>
      </x:c>
      <x:c r="H466" s="3"/>
      <x:c r="L466" s="3"/>
      <x:c r="M466" s="3"/>
    </x:row>
    <x:row r="467" spans="3:13">
      <x:c r="C467" s="6" t="e">
        <x:f>LEFT(H467,SEARCH("]",H467))</x:f>
        <x:v>#VALUE!</x:v>
      </x:c>
      <x:c r="D467" s="5" t="e">
        <x:f>MID(H467,SEARCH("]",H467)+1,200)</x:f>
        <x:v>#VALUE!</x:v>
      </x:c>
      <x:c r="H467" s="3"/>
      <x:c r="L467" s="3"/>
      <x:c r="M467" s="3"/>
    </x:row>
    <x:row r="468" spans="3:13">
      <x:c r="C468" s="6" t="e">
        <x:f>LEFT(H468,SEARCH("]",H468))</x:f>
        <x:v>#VALUE!</x:v>
      </x:c>
      <x:c r="D468" s="5" t="e">
        <x:f>MID(H468,SEARCH("]",H468)+1,200)</x:f>
        <x:v>#VALUE!</x:v>
      </x:c>
      <x:c r="H468" s="3"/>
      <x:c r="L468" s="3"/>
      <x:c r="M468" s="3"/>
    </x:row>
    <x:row r="469" spans="3:13">
      <x:c r="C469" s="6" t="e">
        <x:f>LEFT(H469,SEARCH("]",H469))</x:f>
        <x:v>#VALUE!</x:v>
      </x:c>
      <x:c r="D469" s="5" t="e">
        <x:f>MID(H469,SEARCH("]",H469)+1,200)</x:f>
        <x:v>#VALUE!</x:v>
      </x:c>
      <x:c r="H469" s="3"/>
      <x:c r="L469" s="3"/>
      <x:c r="M469" s="3"/>
    </x:row>
    <x:row r="470" spans="3:13">
      <x:c r="C470" s="6" t="e">
        <x:f>LEFT(H470,SEARCH("]",H470))</x:f>
        <x:v>#VALUE!</x:v>
      </x:c>
      <x:c r="D470" s="5" t="e">
        <x:f>MID(H470,SEARCH("]",H470)+1,200)</x:f>
        <x:v>#VALUE!</x:v>
      </x:c>
      <x:c r="H470" s="3"/>
      <x:c r="L470" s="3"/>
      <x:c r="M470" s="3"/>
    </x:row>
    <x:row r="471" spans="3:13">
      <x:c r="C471" s="6" t="e">
        <x:f>LEFT(H471,SEARCH("]",H471))</x:f>
        <x:v>#VALUE!</x:v>
      </x:c>
      <x:c r="D471" s="5" t="e">
        <x:f>MID(H471,SEARCH("]",H471)+1,200)</x:f>
        <x:v>#VALUE!</x:v>
      </x:c>
      <x:c r="H471" s="3"/>
      <x:c r="L471" s="3"/>
      <x:c r="M471" s="3"/>
    </x:row>
    <x:row r="472" spans="3:13">
      <x:c r="C472" s="6" t="e">
        <x:f>LEFT(H472,SEARCH("]",H472))</x:f>
        <x:v>#VALUE!</x:v>
      </x:c>
      <x:c r="D472" s="5" t="e">
        <x:f>MID(H472,SEARCH("]",H472)+1,200)</x:f>
        <x:v>#VALUE!</x:v>
      </x:c>
      <x:c r="H472" s="3"/>
      <x:c r="L472" s="3"/>
      <x:c r="M472" s="3"/>
    </x:row>
    <x:row r="473" spans="3:13">
      <x:c r="C473" s="6" t="e">
        <x:f>LEFT(H473,SEARCH("]",H473))</x:f>
        <x:v>#VALUE!</x:v>
      </x:c>
      <x:c r="D473" s="5" t="e">
        <x:f>MID(H473,SEARCH("]",H473)+1,200)</x:f>
        <x:v>#VALUE!</x:v>
      </x:c>
      <x:c r="H473" s="3"/>
      <x:c r="L473" s="3"/>
      <x:c r="M473" s="3"/>
    </x:row>
    <x:row r="474" spans="3:13">
      <x:c r="C474" s="6" t="e">
        <x:f>LEFT(H474,SEARCH("]",H474))</x:f>
        <x:v>#VALUE!</x:v>
      </x:c>
      <x:c r="D474" s="5" t="e">
        <x:f>MID(H474,SEARCH("]",H474)+1,200)</x:f>
        <x:v>#VALUE!</x:v>
      </x:c>
      <x:c r="H474" s="3"/>
      <x:c r="L474" s="3"/>
      <x:c r="M474" s="3"/>
    </x:row>
    <x:row r="475" spans="3:13">
      <x:c r="C475" s="6" t="e">
        <x:f>LEFT(H475,SEARCH("]",H475))</x:f>
        <x:v>#VALUE!</x:v>
      </x:c>
      <x:c r="D475" s="5" t="e">
        <x:f>MID(H475,SEARCH("]",H475)+1,200)</x:f>
        <x:v>#VALUE!</x:v>
      </x:c>
      <x:c r="H475" s="3"/>
      <x:c r="L475" s="3"/>
      <x:c r="M475" s="3"/>
    </x:row>
    <x:row r="476" spans="3:13">
      <x:c r="C476" s="6" t="e">
        <x:f>LEFT(H476,SEARCH("]",H476))</x:f>
        <x:v>#VALUE!</x:v>
      </x:c>
      <x:c r="D476" s="5" t="e">
        <x:f>MID(H476,SEARCH("]",H476)+1,200)</x:f>
        <x:v>#VALUE!</x:v>
      </x:c>
      <x:c r="H476" s="3"/>
      <x:c r="L476" s="3"/>
      <x:c r="M476" s="3"/>
    </x:row>
    <x:row r="477" spans="3:13">
      <x:c r="C477" s="6" t="e">
        <x:f>LEFT(H477,SEARCH("]",H477))</x:f>
        <x:v>#VALUE!</x:v>
      </x:c>
      <x:c r="D477" s="5" t="e">
        <x:f>MID(H477,SEARCH("]",H477)+1,200)</x:f>
        <x:v>#VALUE!</x:v>
      </x:c>
      <x:c r="H477" s="3"/>
      <x:c r="L477" s="3"/>
      <x:c r="M477" s="3"/>
    </x:row>
    <x:row r="478" spans="3:13">
      <x:c r="C478" s="6" t="e">
        <x:f>LEFT(H478,SEARCH("]",H478))</x:f>
        <x:v>#VALUE!</x:v>
      </x:c>
      <x:c r="D478" s="5" t="e">
        <x:f>MID(H478,SEARCH("]",H478)+1,200)</x:f>
        <x:v>#VALUE!</x:v>
      </x:c>
      <x:c r="H478" s="3"/>
      <x:c r="L478" s="3"/>
      <x:c r="M478" s="3"/>
    </x:row>
    <x:row r="479" spans="3:13">
      <x:c r="C479" s="6" t="e">
        <x:f>LEFT(H479,SEARCH("]",H479))</x:f>
        <x:v>#VALUE!</x:v>
      </x:c>
      <x:c r="D479" s="5" t="e">
        <x:f>MID(H479,SEARCH("]",H479)+1,200)</x:f>
        <x:v>#VALUE!</x:v>
      </x:c>
      <x:c r="H479" s="3"/>
      <x:c r="L479" s="3"/>
      <x:c r="M479" s="3"/>
    </x:row>
    <x:row r="480" spans="3:13">
      <x:c r="C480" s="6" t="e">
        <x:f>LEFT(H480,SEARCH("]",H480))</x:f>
        <x:v>#VALUE!</x:v>
      </x:c>
      <x:c r="D480" s="5" t="e">
        <x:f>MID(H480,SEARCH("]",H480)+1,200)</x:f>
        <x:v>#VALUE!</x:v>
      </x:c>
      <x:c r="H480" s="3"/>
      <x:c r="L480" s="3"/>
      <x:c r="M480" s="3"/>
    </x:row>
    <x:row r="481" spans="3:13">
      <x:c r="C481" s="6" t="e">
        <x:f>LEFT(H481,SEARCH("]",H481))</x:f>
        <x:v>#VALUE!</x:v>
      </x:c>
      <x:c r="D481" s="5" t="e">
        <x:f>MID(H481,SEARCH("]",H481)+1,200)</x:f>
        <x:v>#VALUE!</x:v>
      </x:c>
      <x:c r="H481" s="3"/>
      <x:c r="L481" s="3"/>
      <x:c r="M481" s="3"/>
    </x:row>
    <x:row r="482" spans="3:13">
      <x:c r="C482" s="6" t="e">
        <x:f>LEFT(H482,SEARCH("]",H482))</x:f>
        <x:v>#VALUE!</x:v>
      </x:c>
      <x:c r="D482" s="5" t="e">
        <x:f>MID(H482,SEARCH("]",H482)+1,200)</x:f>
        <x:v>#VALUE!</x:v>
      </x:c>
      <x:c r="H482" s="3"/>
      <x:c r="L482" s="3"/>
      <x:c r="M482" s="3"/>
    </x:row>
    <x:row r="483" spans="3:13">
      <x:c r="C483" s="6" t="e">
        <x:f>LEFT(H483,SEARCH("]",H483))</x:f>
        <x:v>#VALUE!</x:v>
      </x:c>
      <x:c r="D483" s="5" t="e">
        <x:f>MID(H483,SEARCH("]",H483)+1,200)</x:f>
        <x:v>#VALUE!</x:v>
      </x:c>
      <x:c r="H483" s="3"/>
      <x:c r="L483" s="3"/>
      <x:c r="M483" s="3"/>
    </x:row>
    <x:row r="484" spans="3:13">
      <x:c r="C484" s="6" t="e">
        <x:f>LEFT(H484,SEARCH("]",H484))</x:f>
        <x:v>#VALUE!</x:v>
      </x:c>
      <x:c r="D484" s="5" t="e">
        <x:f>MID(H484,SEARCH("]",H484)+1,200)</x:f>
        <x:v>#VALUE!</x:v>
      </x:c>
      <x:c r="H484" s="3"/>
      <x:c r="L484" s="3"/>
      <x:c r="M484" s="3"/>
    </x:row>
    <x:row r="485" spans="3:13">
      <x:c r="C485" s="6" t="e">
        <x:f>LEFT(H485,SEARCH("]",H485))</x:f>
        <x:v>#VALUE!</x:v>
      </x:c>
      <x:c r="D485" s="5" t="e">
        <x:f>MID(H485,SEARCH("]",H485)+1,200)</x:f>
        <x:v>#VALUE!</x:v>
      </x:c>
      <x:c r="H485" s="3"/>
      <x:c r="L485" s="3"/>
      <x:c r="M485" s="3"/>
    </x:row>
    <x:row r="486" spans="3:13">
      <x:c r="C486" s="6" t="e">
        <x:f>LEFT(H486,SEARCH("]",H486))</x:f>
        <x:v>#VALUE!</x:v>
      </x:c>
      <x:c r="D486" s="5" t="e">
        <x:f>MID(H486,SEARCH("]",H486)+1,200)</x:f>
        <x:v>#VALUE!</x:v>
      </x:c>
      <x:c r="H486" s="3"/>
      <x:c r="L486" s="3"/>
      <x:c r="M486" s="3"/>
    </x:row>
    <x:row r="487" spans="3:13">
      <x:c r="C487" s="6" t="e">
        <x:f>LEFT(H487,SEARCH("]",H487))</x:f>
        <x:v>#VALUE!</x:v>
      </x:c>
      <x:c r="D487" s="5" t="e">
        <x:f>MID(H487,SEARCH("]",H487)+1,200)</x:f>
        <x:v>#VALUE!</x:v>
      </x:c>
      <x:c r="H487" s="3"/>
      <x:c r="L487" s="3"/>
      <x:c r="M487" s="3"/>
    </x:row>
    <x:row r="488" spans="3:13">
      <x:c r="C488" s="6" t="e">
        <x:f>LEFT(H488,SEARCH("]",H488))</x:f>
        <x:v>#VALUE!</x:v>
      </x:c>
      <x:c r="D488" s="5" t="e">
        <x:f>MID(H488,SEARCH("]",H488)+1,200)</x:f>
        <x:v>#VALUE!</x:v>
      </x:c>
      <x:c r="H488" s="3"/>
      <x:c r="L488" s="3"/>
      <x:c r="M488" s="3"/>
    </x:row>
    <x:row r="489" spans="3:13">
      <x:c r="C489" s="6" t="e">
        <x:f>LEFT(H489,SEARCH("]",H489))</x:f>
        <x:v>#VALUE!</x:v>
      </x:c>
      <x:c r="D489" s="5" t="e">
        <x:f>MID(H489,SEARCH("]",H489)+1,200)</x:f>
        <x:v>#VALUE!</x:v>
      </x:c>
      <x:c r="H489" s="3"/>
      <x:c r="L489" s="3"/>
      <x:c r="M489" s="3"/>
    </x:row>
    <x:row r="490" spans="3:13">
      <x:c r="C490" s="6" t="e">
        <x:f>LEFT(H490,SEARCH("]",H490))</x:f>
        <x:v>#VALUE!</x:v>
      </x:c>
      <x:c r="D490" s="5" t="e">
        <x:f>MID(H490,SEARCH("]",H490)+1,200)</x:f>
        <x:v>#VALUE!</x:v>
      </x:c>
      <x:c r="H490" s="3"/>
      <x:c r="L490" s="3"/>
      <x:c r="M490" s="3"/>
    </x:row>
    <x:row r="491" spans="3:13">
      <x:c r="C491" s="6" t="e">
        <x:f>LEFT(H491,SEARCH("]",H491))</x:f>
        <x:v>#VALUE!</x:v>
      </x:c>
      <x:c r="D491" s="5" t="e">
        <x:f>MID(H491,SEARCH("]",H491)+1,200)</x:f>
        <x:v>#VALUE!</x:v>
      </x:c>
      <x:c r="H491" s="3"/>
      <x:c r="L491" s="3"/>
      <x:c r="M491" s="3"/>
    </x:row>
    <x:row r="492" spans="3:13">
      <x:c r="C492" s="6" t="e">
        <x:f>LEFT(H492,SEARCH("]",H492))</x:f>
        <x:v>#VALUE!</x:v>
      </x:c>
      <x:c r="D492" s="5" t="e">
        <x:f>MID(H492,SEARCH("]",H492)+1,200)</x:f>
        <x:v>#VALUE!</x:v>
      </x:c>
      <x:c r="H492" s="3"/>
      <x:c r="L492" s="3"/>
      <x:c r="M492" s="3"/>
    </x:row>
    <x:row r="493" spans="3:13">
      <x:c r="C493" s="6" t="e">
        <x:f>LEFT(H493,SEARCH("]",H493))</x:f>
        <x:v>#VALUE!</x:v>
      </x:c>
      <x:c r="D493" s="5" t="e">
        <x:f>MID(H493,SEARCH("]",H493)+1,200)</x:f>
        <x:v>#VALUE!</x:v>
      </x:c>
      <x:c r="H493" s="3"/>
      <x:c r="L493" s="3"/>
      <x:c r="M493" s="3"/>
    </x:row>
    <x:row r="494" spans="3:13">
      <x:c r="C494" s="6" t="e">
        <x:f>LEFT(H494,SEARCH("]",H494))</x:f>
        <x:v>#VALUE!</x:v>
      </x:c>
      <x:c r="D494" s="5" t="e">
        <x:f>MID(H494,SEARCH("]",H494)+1,200)</x:f>
        <x:v>#VALUE!</x:v>
      </x:c>
      <x:c r="H494" s="3"/>
      <x:c r="L494" s="3"/>
      <x:c r="M494" s="3"/>
    </x:row>
    <x:row r="495" spans="3:13">
      <x:c r="C495" s="6" t="e">
        <x:f>LEFT(H495,SEARCH("]",H495))</x:f>
        <x:v>#VALUE!</x:v>
      </x:c>
      <x:c r="D495" s="5" t="e">
        <x:f>MID(H495,SEARCH("]",H495)+1,200)</x:f>
        <x:v>#VALUE!</x:v>
      </x:c>
      <x:c r="H495" s="3"/>
      <x:c r="L495" s="3"/>
      <x:c r="M495" s="3"/>
    </x:row>
    <x:row r="496" spans="3:13">
      <x:c r="C496" s="6" t="e">
        <x:f>LEFT(H496,SEARCH("]",H496))</x:f>
        <x:v>#VALUE!</x:v>
      </x:c>
      <x:c r="D496" s="5" t="e">
        <x:f>MID(H496,SEARCH("]",H496)+1,200)</x:f>
        <x:v>#VALUE!</x:v>
      </x:c>
      <x:c r="H496" s="3"/>
      <x:c r="L496" s="3"/>
      <x:c r="M496" s="3"/>
    </x:row>
    <x:row r="497" spans="3:13">
      <x:c r="C497" s="6" t="e">
        <x:f>LEFT(H497,SEARCH("]",H497))</x:f>
        <x:v>#VALUE!</x:v>
      </x:c>
      <x:c r="D497" s="5" t="e">
        <x:f>MID(H497,SEARCH("]",H497)+1,200)</x:f>
        <x:v>#VALUE!</x:v>
      </x:c>
      <x:c r="H497" s="3"/>
      <x:c r="L497" s="3"/>
      <x:c r="M497" s="3"/>
    </x:row>
    <x:row r="498" spans="3:13">
      <x:c r="C498" s="6" t="e">
        <x:f>LEFT(H498,SEARCH("]",H498))</x:f>
        <x:v>#VALUE!</x:v>
      </x:c>
      <x:c r="D498" s="5" t="e">
        <x:f>MID(H498,SEARCH("]",H498)+1,200)</x:f>
        <x:v>#VALUE!</x:v>
      </x:c>
      <x:c r="H498" s="3"/>
      <x:c r="L498" s="3"/>
      <x:c r="M498" s="3"/>
    </x:row>
    <x:row r="499" spans="3:13">
      <x:c r="C499" s="6" t="e">
        <x:f>LEFT(H499,SEARCH("]",H499))</x:f>
        <x:v>#VALUE!</x:v>
      </x:c>
      <x:c r="D499" s="5" t="e">
        <x:f>MID(H499,SEARCH("]",H499)+1,200)</x:f>
        <x:v>#VALUE!</x:v>
      </x:c>
      <x:c r="H499" s="3"/>
      <x:c r="L499" s="3"/>
      <x:c r="M499" s="3"/>
    </x:row>
    <x:row r="500" spans="3:13">
      <x:c r="C500" s="6" t="e">
        <x:f>LEFT(H500,SEARCH("]",H500))</x:f>
        <x:v>#VALUE!</x:v>
      </x:c>
      <x:c r="D500" s="5" t="e">
        <x:f>MID(H500,SEARCH("]",H500)+1,200)</x:f>
        <x:v>#VALUE!</x:v>
      </x:c>
      <x:c r="H500" s="3"/>
      <x:c r="L500" s="3"/>
      <x:c r="M500" s="3"/>
    </x:row>
    <x:row r="501" spans="3:13">
      <x:c r="C501" s="6" t="e">
        <x:f>LEFT(H501,SEARCH("]",H501))</x:f>
        <x:v>#VALUE!</x:v>
      </x:c>
      <x:c r="D501" s="5" t="e">
        <x:f>MID(H501,SEARCH("]",H501)+1,200)</x:f>
        <x:v>#VALUE!</x:v>
      </x:c>
      <x:c r="H501" s="3"/>
      <x:c r="L501" s="3"/>
      <x:c r="M501" s="3"/>
    </x:row>
    <x:row r="502" spans="3:13">
      <x:c r="C502" s="6" t="e">
        <x:f>LEFT(H502,SEARCH("]",H502))</x:f>
        <x:v>#VALUE!</x:v>
      </x:c>
      <x:c r="D502" s="5" t="e">
        <x:f>MID(H502,SEARCH("]",H502)+1,200)</x:f>
        <x:v>#VALUE!</x:v>
      </x:c>
      <x:c r="H502" s="3"/>
      <x:c r="L502" s="3"/>
      <x:c r="M502" s="3"/>
    </x:row>
    <x:row r="503" spans="3:13">
      <x:c r="C503" s="6" t="e">
        <x:f>LEFT(H503,SEARCH("]",H503))</x:f>
        <x:v>#VALUE!</x:v>
      </x:c>
      <x:c r="D503" s="5" t="e">
        <x:f>MID(H503,SEARCH("]",H503)+1,200)</x:f>
        <x:v>#VALUE!</x:v>
      </x:c>
      <x:c r="H503" s="3"/>
      <x:c r="L503" s="3"/>
      <x:c r="M503" s="3"/>
    </x:row>
    <x:row r="504" spans="3:13">
      <x:c r="C504" s="6" t="e">
        <x:f>LEFT(H504,SEARCH("]",H504))</x:f>
        <x:v>#VALUE!</x:v>
      </x:c>
      <x:c r="D504" s="5" t="e">
        <x:f>MID(H504,SEARCH("]",H504)+1,200)</x:f>
        <x:v>#VALUE!</x:v>
      </x:c>
      <x:c r="H504" s="3"/>
      <x:c r="L504" s="3"/>
      <x:c r="M504" s="3"/>
    </x:row>
    <x:row r="505" spans="3:13">
      <x:c r="C505" s="6" t="e">
        <x:f>LEFT(H505,SEARCH("]",H505))</x:f>
        <x:v>#VALUE!</x:v>
      </x:c>
      <x:c r="D505" s="5" t="e">
        <x:f>MID(H505,SEARCH("]",H505)+1,200)</x:f>
        <x:v>#VALUE!</x:v>
      </x:c>
      <x:c r="H505" s="3"/>
      <x:c r="L505" s="3"/>
      <x:c r="M505" s="3"/>
    </x:row>
    <x:row r="506" spans="3:13">
      <x:c r="C506" s="6" t="e">
        <x:f>LEFT(H506,SEARCH("]",H506))</x:f>
        <x:v>#VALUE!</x:v>
      </x:c>
      <x:c r="D506" s="5" t="e">
        <x:f>MID(H506,SEARCH("]",H506)+1,200)</x:f>
        <x:v>#VALUE!</x:v>
      </x:c>
      <x:c r="H506" s="3"/>
      <x:c r="L506" s="3"/>
      <x:c r="M506" s="3"/>
    </x:row>
    <x:row r="507" spans="3:13">
      <x:c r="C507" s="6" t="e">
        <x:f>LEFT(H507,SEARCH("]",H507))</x:f>
        <x:v>#VALUE!</x:v>
      </x:c>
      <x:c r="D507" s="5" t="e">
        <x:f>MID(H507,SEARCH("]",H507)+1,200)</x:f>
        <x:v>#VALUE!</x:v>
      </x:c>
      <x:c r="H507" s="3"/>
      <x:c r="L507" s="3"/>
      <x:c r="M507" s="3"/>
    </x:row>
    <x:row r="508" spans="3:13">
      <x:c r="C508" s="6" t="e">
        <x:f>LEFT(H508,SEARCH("]",H508))</x:f>
        <x:v>#VALUE!</x:v>
      </x:c>
      <x:c r="D508" s="5" t="e">
        <x:f>MID(H508,SEARCH("]",H508)+1,200)</x:f>
        <x:v>#VALUE!</x:v>
      </x:c>
      <x:c r="H508" s="3"/>
      <x:c r="L508" s="3"/>
      <x:c r="M508" s="3"/>
    </x:row>
    <x:row r="509" spans="3:13">
      <x:c r="C509" s="6" t="e">
        <x:f>LEFT(H509,SEARCH("]",H509))</x:f>
        <x:v>#VALUE!</x:v>
      </x:c>
      <x:c r="D509" s="5" t="e">
        <x:f>MID(H509,SEARCH("]",H509)+1,200)</x:f>
        <x:v>#VALUE!</x:v>
      </x:c>
      <x:c r="H509" s="3"/>
      <x:c r="L509" s="3"/>
      <x:c r="M509" s="3"/>
    </x:row>
    <x:row r="510" spans="3:13">
      <x:c r="C510" s="6" t="e">
        <x:f>LEFT(H510,SEARCH("]",H510))</x:f>
        <x:v>#VALUE!</x:v>
      </x:c>
      <x:c r="D510" s="5" t="e">
        <x:f>MID(H510,SEARCH("]",H510)+1,200)</x:f>
        <x:v>#VALUE!</x:v>
      </x:c>
      <x:c r="H510" s="3"/>
      <x:c r="L510" s="3"/>
      <x:c r="M510" s="3"/>
    </x:row>
    <x:row r="511" spans="3:13">
      <x:c r="C511" s="6" t="e">
        <x:f>LEFT(H511,SEARCH("]",H511))</x:f>
        <x:v>#VALUE!</x:v>
      </x:c>
      <x:c r="D511" s="5" t="e">
        <x:f>MID(H511,SEARCH("]",H511)+1,200)</x:f>
        <x:v>#VALUE!</x:v>
      </x:c>
      <x:c r="H511" s="3"/>
      <x:c r="L511" s="3"/>
      <x:c r="M511" s="3"/>
    </x:row>
    <x:row r="512" spans="3:13">
      <x:c r="C512" s="6" t="e">
        <x:f>LEFT(H512,SEARCH("]",H512))</x:f>
        <x:v>#VALUE!</x:v>
      </x:c>
      <x:c r="D512" s="5" t="e">
        <x:f>MID(H512,SEARCH("]",H512)+1,200)</x:f>
        <x:v>#VALUE!</x:v>
      </x:c>
      <x:c r="H512" s="3"/>
      <x:c r="L512" s="3"/>
      <x:c r="M512" s="3"/>
    </x:row>
    <x:row r="513" spans="3:13">
      <x:c r="C513" s="6" t="e">
        <x:f>LEFT(H513,SEARCH("]",H513))</x:f>
        <x:v>#VALUE!</x:v>
      </x:c>
      <x:c r="D513" s="5" t="e">
        <x:f>MID(H513,SEARCH("]",H513)+1,200)</x:f>
        <x:v>#VALUE!</x:v>
      </x:c>
      <x:c r="H513" s="3"/>
      <x:c r="L513" s="3"/>
      <x:c r="M513" s="3"/>
    </x:row>
    <x:row r="514" spans="3:13">
      <x:c r="C514" s="6" t="e">
        <x:f>LEFT(H514,SEARCH("]",H514))</x:f>
        <x:v>#VALUE!</x:v>
      </x:c>
      <x:c r="D514" s="5" t="e">
        <x:f>MID(H514,SEARCH("]",H514)+1,200)</x:f>
        <x:v>#VALUE!</x:v>
      </x:c>
      <x:c r="H514" s="3"/>
      <x:c r="L514" s="3"/>
      <x:c r="M514" s="3"/>
    </x:row>
    <x:row r="515" spans="3:13">
      <x:c r="C515" s="6" t="e">
        <x:f>LEFT(H515,SEARCH("]",H515))</x:f>
        <x:v>#VALUE!</x:v>
      </x:c>
      <x:c r="D515" s="5" t="e">
        <x:f>MID(H515,SEARCH("]",H515)+1,200)</x:f>
        <x:v>#VALUE!</x:v>
      </x:c>
      <x:c r="H515" s="3"/>
      <x:c r="L515" s="3"/>
      <x:c r="M515" s="3"/>
    </x:row>
    <x:row r="516" spans="3:13">
      <x:c r="C516" s="6" t="e">
        <x:f>LEFT(H516,SEARCH("]",H516))</x:f>
        <x:v>#VALUE!</x:v>
      </x:c>
      <x:c r="D516" s="5" t="e">
        <x:f>MID(H516,SEARCH("]",H516)+1,200)</x:f>
        <x:v>#VALUE!</x:v>
      </x:c>
      <x:c r="H516" s="3"/>
      <x:c r="L516" s="3"/>
      <x:c r="M516" s="3"/>
    </x:row>
    <x:row r="517" spans="3:13">
      <x:c r="C517" s="6" t="e">
        <x:f>LEFT(H517,SEARCH("]",H517))</x:f>
        <x:v>#VALUE!</x:v>
      </x:c>
      <x:c r="D517" s="5" t="e">
        <x:f>MID(H517,SEARCH("]",H517)+1,200)</x:f>
        <x:v>#VALUE!</x:v>
      </x:c>
      <x:c r="H517" s="3"/>
      <x:c r="L517" s="3"/>
      <x:c r="M517" s="3"/>
    </x:row>
    <x:row r="518" spans="3:13">
      <x:c r="C518" s="6" t="e">
        <x:f>LEFT(H518,SEARCH("]",H518))</x:f>
        <x:v>#VALUE!</x:v>
      </x:c>
      <x:c r="D518" s="5" t="e">
        <x:f>MID(H518,SEARCH("]",H518)+1,200)</x:f>
        <x:v>#VALUE!</x:v>
      </x:c>
      <x:c r="H518" s="3"/>
      <x:c r="L518" s="3"/>
      <x:c r="M518" s="3"/>
    </x:row>
    <x:row r="519" spans="3:13">
      <x:c r="C519" s="6" t="e">
        <x:f>LEFT(H519,SEARCH("]",H519))</x:f>
        <x:v>#VALUE!</x:v>
      </x:c>
      <x:c r="D519" s="5" t="e">
        <x:f>MID(H519,SEARCH("]",H519)+1,200)</x:f>
        <x:v>#VALUE!</x:v>
      </x:c>
      <x:c r="H519" s="3"/>
      <x:c r="L519" s="3"/>
      <x:c r="M519" s="3"/>
    </x:row>
    <x:row r="520" spans="3:13">
      <x:c r="C520" s="6" t="e">
        <x:f>LEFT(H520,SEARCH("]",H520))</x:f>
        <x:v>#VALUE!</x:v>
      </x:c>
      <x:c r="D520" s="5" t="e">
        <x:f>MID(H520,SEARCH("]",H520)+1,200)</x:f>
        <x:v>#VALUE!</x:v>
      </x:c>
      <x:c r="H520" s="3"/>
      <x:c r="L520" s="3"/>
      <x:c r="M520" s="3"/>
    </x:row>
    <x:row r="521" spans="3:13">
      <x:c r="C521" s="6" t="e">
        <x:f>LEFT(H521,SEARCH("]",H521))</x:f>
        <x:v>#VALUE!</x:v>
      </x:c>
      <x:c r="D521" s="5" t="e">
        <x:f>MID(H521,SEARCH("]",H521)+1,200)</x:f>
        <x:v>#VALUE!</x:v>
      </x:c>
      <x:c r="H521" s="3"/>
      <x:c r="L521" s="3"/>
      <x:c r="M521" s="3"/>
    </x:row>
    <x:row r="522" spans="3:13">
      <x:c r="C522" s="6" t="e">
        <x:f>LEFT(H522,SEARCH("]",H522))</x:f>
        <x:v>#VALUE!</x:v>
      </x:c>
      <x:c r="D522" s="5" t="e">
        <x:f>MID(H522,SEARCH("]",H522)+1,200)</x:f>
        <x:v>#VALUE!</x:v>
      </x:c>
      <x:c r="H522" s="3"/>
      <x:c r="L522" s="3"/>
      <x:c r="M522" s="3"/>
    </x:row>
    <x:row r="523" spans="3:13">
      <x:c r="C523" s="6" t="e">
        <x:f>LEFT(H523,SEARCH("]",H523))</x:f>
        <x:v>#VALUE!</x:v>
      </x:c>
      <x:c r="D523" s="5" t="e">
        <x:f>MID(H523,SEARCH("]",H523)+1,200)</x:f>
        <x:v>#VALUE!</x:v>
      </x:c>
      <x:c r="H523" s="3"/>
      <x:c r="L523" s="3"/>
      <x:c r="M523" s="3"/>
    </x:row>
    <x:row r="524" spans="3:13">
      <x:c r="C524" s="6" t="e">
        <x:f>LEFT(H524,SEARCH("]",H524))</x:f>
        <x:v>#VALUE!</x:v>
      </x:c>
      <x:c r="D524" s="5" t="e">
        <x:f>MID(H524,SEARCH("]",H524)+1,200)</x:f>
        <x:v>#VALUE!</x:v>
      </x:c>
      <x:c r="H524" s="3"/>
      <x:c r="L524" s="3"/>
      <x:c r="M524" s="3"/>
    </x:row>
    <x:row r="525" spans="3:13">
      <x:c r="C525" s="6" t="e">
        <x:f>LEFT(H525,SEARCH("]",H525))</x:f>
        <x:v>#VALUE!</x:v>
      </x:c>
      <x:c r="D525" s="5" t="e">
        <x:f>MID(H525,SEARCH("]",H525)+1,200)</x:f>
        <x:v>#VALUE!</x:v>
      </x:c>
      <x:c r="H525" s="3"/>
      <x:c r="L525" s="3"/>
      <x:c r="M525" s="3"/>
    </x:row>
    <x:row r="526" spans="3:13">
      <x:c r="C526" s="6" t="e">
        <x:f>LEFT(H526,SEARCH("]",H526))</x:f>
        <x:v>#VALUE!</x:v>
      </x:c>
      <x:c r="D526" s="5" t="e">
        <x:f>MID(H526,SEARCH("]",H526)+1,200)</x:f>
        <x:v>#VALUE!</x:v>
      </x:c>
      <x:c r="H526" s="3"/>
      <x:c r="L526" s="3"/>
      <x:c r="M526" s="3"/>
    </x:row>
    <x:row r="527" spans="3:13">
      <x:c r="C527" s="6" t="e">
        <x:f>LEFT(H527,SEARCH("]",H527))</x:f>
        <x:v>#VALUE!</x:v>
      </x:c>
      <x:c r="D527" s="5" t="e">
        <x:f>MID(H527,SEARCH("]",H527)+1,200)</x:f>
        <x:v>#VALUE!</x:v>
      </x:c>
      <x:c r="H527" s="3"/>
      <x:c r="L527" s="3"/>
      <x:c r="M527" s="3"/>
    </x:row>
    <x:row r="528" spans="3:13">
      <x:c r="C528" s="6" t="e">
        <x:f>LEFT(H528,SEARCH("]",H528))</x:f>
        <x:v>#VALUE!</x:v>
      </x:c>
      <x:c r="D528" s="5" t="e">
        <x:f>MID(H528,SEARCH("]",H528)+1,200)</x:f>
        <x:v>#VALUE!</x:v>
      </x:c>
      <x:c r="H528" s="3"/>
      <x:c r="L528" s="3"/>
      <x:c r="M528" s="3"/>
    </x:row>
    <x:row r="529" spans="3:13">
      <x:c r="C529" s="6" t="e">
        <x:f>LEFT(H529,SEARCH("]",H529))</x:f>
        <x:v>#VALUE!</x:v>
      </x:c>
      <x:c r="D529" s="5" t="e">
        <x:f>MID(H529,SEARCH("]",H529)+1,200)</x:f>
        <x:v>#VALUE!</x:v>
      </x:c>
      <x:c r="H529" s="3"/>
      <x:c r="L529" s="3"/>
      <x:c r="M529" s="3"/>
    </x:row>
    <x:row r="530" spans="3:13">
      <x:c r="C530" s="6" t="e">
        <x:f>LEFT(H530,SEARCH("]",H530))</x:f>
        <x:v>#VALUE!</x:v>
      </x:c>
      <x:c r="D530" s="5" t="e">
        <x:f>MID(H530,SEARCH("]",H530)+1,200)</x:f>
        <x:v>#VALUE!</x:v>
      </x:c>
      <x:c r="H530" s="3"/>
      <x:c r="L530" s="3"/>
      <x:c r="M530" s="3"/>
    </x:row>
    <x:row r="531" spans="3:13">
      <x:c r="C531" s="6" t="e">
        <x:f>LEFT(H531,SEARCH("]",H531))</x:f>
        <x:v>#VALUE!</x:v>
      </x:c>
      <x:c r="D531" s="5" t="e">
        <x:f>MID(H531,SEARCH("]",H531)+1,200)</x:f>
        <x:v>#VALUE!</x:v>
      </x:c>
      <x:c r="H531" s="3"/>
      <x:c r="L531" s="3"/>
      <x:c r="M531" s="3"/>
    </x:row>
    <x:row r="532" spans="3:13">
      <x:c r="C532" s="6" t="e">
        <x:f>LEFT(H532,SEARCH("]",H532))</x:f>
        <x:v>#VALUE!</x:v>
      </x:c>
      <x:c r="D532" s="5" t="e">
        <x:f>MID(H532,SEARCH("]",H532)+1,200)</x:f>
        <x:v>#VALUE!</x:v>
      </x:c>
      <x:c r="H532" s="3"/>
      <x:c r="L532" s="3"/>
      <x:c r="M532" s="3"/>
    </x:row>
    <x:row r="533" spans="3:13">
      <x:c r="C533" s="6" t="e">
        <x:f>LEFT(H533,SEARCH("]",H533))</x:f>
        <x:v>#VALUE!</x:v>
      </x:c>
      <x:c r="D533" s="5" t="e">
        <x:f>MID(H533,SEARCH("]",H533)+1,200)</x:f>
        <x:v>#VALUE!</x:v>
      </x:c>
      <x:c r="H533" s="3"/>
      <x:c r="L533" s="3"/>
      <x:c r="M533" s="3"/>
    </x:row>
    <x:row r="534" spans="3:13">
      <x:c r="C534" s="6" t="e">
        <x:f>LEFT(H534,SEARCH("]",H534))</x:f>
        <x:v>#VALUE!</x:v>
      </x:c>
      <x:c r="D534" s="5" t="e">
        <x:f>MID(H534,SEARCH("]",H534)+1,200)</x:f>
        <x:v>#VALUE!</x:v>
      </x:c>
      <x:c r="H534" s="3"/>
      <x:c r="L534" s="3"/>
      <x:c r="M534" s="3"/>
    </x:row>
    <x:row r="535" spans="3:13">
      <x:c r="C535" s="6" t="e">
        <x:f>LEFT(H535,SEARCH("]",H535))</x:f>
        <x:v>#VALUE!</x:v>
      </x:c>
      <x:c r="D535" s="5" t="e">
        <x:f>MID(H535,SEARCH("]",H535)+1,200)</x:f>
        <x:v>#VALUE!</x:v>
      </x:c>
      <x:c r="H535" s="3"/>
      <x:c r="L535" s="3"/>
      <x:c r="M535" s="3"/>
    </x:row>
    <x:row r="536" spans="3:13">
      <x:c r="C536" s="6" t="e">
        <x:f>LEFT(H536,SEARCH("]",H536))</x:f>
        <x:v>#VALUE!</x:v>
      </x:c>
      <x:c r="D536" s="5" t="e">
        <x:f>MID(H536,SEARCH("]",H536)+1,200)</x:f>
        <x:v>#VALUE!</x:v>
      </x:c>
      <x:c r="H536" s="3"/>
      <x:c r="L536" s="3"/>
      <x:c r="M536" s="3"/>
    </x:row>
    <x:row r="537" spans="3:13">
      <x:c r="C537" s="6" t="e">
        <x:f>LEFT(H537,SEARCH("]",H537))</x:f>
        <x:v>#VALUE!</x:v>
      </x:c>
      <x:c r="D537" s="5" t="e">
        <x:f>MID(H537,SEARCH("]",H537)+1,200)</x:f>
        <x:v>#VALUE!</x:v>
      </x:c>
      <x:c r="H537" s="3"/>
      <x:c r="L537" s="3"/>
      <x:c r="M537" s="3"/>
    </x:row>
    <x:row r="538" spans="3:13">
      <x:c r="C538" s="6" t="e">
        <x:f>LEFT(H538,SEARCH("]",H538))</x:f>
        <x:v>#VALUE!</x:v>
      </x:c>
      <x:c r="D538" s="5" t="e">
        <x:f>MID(H538,SEARCH("]",H538)+1,200)</x:f>
        <x:v>#VALUE!</x:v>
      </x:c>
      <x:c r="H538" s="3"/>
      <x:c r="L538" s="3"/>
      <x:c r="M538" s="3"/>
    </x:row>
    <x:row r="539" spans="3:13">
      <x:c r="C539" s="6" t="e">
        <x:f>LEFT(H539,SEARCH("]",H539))</x:f>
        <x:v>#VALUE!</x:v>
      </x:c>
      <x:c r="D539" s="5" t="e">
        <x:f>MID(H539,SEARCH("]",H539)+1,200)</x:f>
        <x:v>#VALUE!</x:v>
      </x:c>
      <x:c r="H539" s="3"/>
      <x:c r="L539" s="3"/>
      <x:c r="M539" s="3"/>
    </x:row>
    <x:row r="540" spans="3:13">
      <x:c r="C540" s="6" t="e">
        <x:f>LEFT(H540,SEARCH("]",H540))</x:f>
        <x:v>#VALUE!</x:v>
      </x:c>
      <x:c r="D540" s="5" t="e">
        <x:f>MID(H540,SEARCH("]",H540)+1,200)</x:f>
        <x:v>#VALUE!</x:v>
      </x:c>
      <x:c r="H540" s="3"/>
      <x:c r="L540" s="3"/>
      <x:c r="M540" s="3"/>
    </x:row>
    <x:row r="541" spans="3:13">
      <x:c r="C541" s="6" t="e">
        <x:f>LEFT(H541,SEARCH("]",H541))</x:f>
        <x:v>#VALUE!</x:v>
      </x:c>
      <x:c r="D541" s="5" t="e">
        <x:f>MID(H541,SEARCH("]",H541)+1,200)</x:f>
        <x:v>#VALUE!</x:v>
      </x:c>
      <x:c r="H541" s="3"/>
      <x:c r="L541" s="3"/>
      <x:c r="M541" s="3"/>
    </x:row>
    <x:row r="542" spans="3:13">
      <x:c r="C542" s="6" t="e">
        <x:f>LEFT(H542,SEARCH("]",H542))</x:f>
        <x:v>#VALUE!</x:v>
      </x:c>
      <x:c r="D542" s="5" t="e">
        <x:f>MID(H542,SEARCH("]",H542)+1,200)</x:f>
        <x:v>#VALUE!</x:v>
      </x:c>
      <x:c r="H542" s="3"/>
      <x:c r="L542" s="3"/>
      <x:c r="M542" s="3"/>
    </x:row>
    <x:row r="543" spans="3:13">
      <x:c r="C543" s="6" t="e">
        <x:f>LEFT(H543,SEARCH("]",H543))</x:f>
        <x:v>#VALUE!</x:v>
      </x:c>
      <x:c r="D543" s="5" t="e">
        <x:f>MID(H543,SEARCH("]",H543)+1,200)</x:f>
        <x:v>#VALUE!</x:v>
      </x:c>
      <x:c r="H543" s="3"/>
      <x:c r="L543" s="3"/>
      <x:c r="M543" s="3"/>
    </x:row>
    <x:row r="544" spans="3:13">
      <x:c r="C544" s="6" t="e">
        <x:f>LEFT(H544,SEARCH("]",H544))</x:f>
        <x:v>#VALUE!</x:v>
      </x:c>
      <x:c r="D544" s="5" t="e">
        <x:f>MID(H544,SEARCH("]",H544)+1,200)</x:f>
        <x:v>#VALUE!</x:v>
      </x:c>
      <x:c r="H544" s="3"/>
      <x:c r="L544" s="3"/>
      <x:c r="M544" s="3"/>
    </x:row>
    <x:row r="545" spans="3:13">
      <x:c r="C545" s="6" t="e">
        <x:f>LEFT(H545,SEARCH("]",H545))</x:f>
        <x:v>#VALUE!</x:v>
      </x:c>
      <x:c r="D545" s="5" t="e">
        <x:f>MID(H545,SEARCH("]",H545)+1,200)</x:f>
        <x:v>#VALUE!</x:v>
      </x:c>
      <x:c r="H545" s="3"/>
      <x:c r="L545" s="3"/>
      <x:c r="M545" s="3"/>
    </x:row>
    <x:row r="546" spans="3:13">
      <x:c r="C546" s="6" t="e">
        <x:f>LEFT(H546,SEARCH("]",H546))</x:f>
        <x:v>#VALUE!</x:v>
      </x:c>
      <x:c r="D546" s="5" t="e">
        <x:f>MID(H546,SEARCH("]",H546)+1,200)</x:f>
        <x:v>#VALUE!</x:v>
      </x:c>
      <x:c r="H546" s="3"/>
      <x:c r="L546" s="3"/>
      <x:c r="M546" s="3"/>
    </x:row>
    <x:row r="547" spans="3:13">
      <x:c r="C547" s="6" t="e">
        <x:f>LEFT(H547,SEARCH("]",H547))</x:f>
        <x:v>#VALUE!</x:v>
      </x:c>
      <x:c r="D547" s="5" t="e">
        <x:f>MID(H547,SEARCH("]",H547)+1,200)</x:f>
        <x:v>#VALUE!</x:v>
      </x:c>
      <x:c r="H547" s="3"/>
      <x:c r="L547" s="3"/>
      <x:c r="M547" s="3"/>
    </x:row>
    <x:row r="548" spans="3:13">
      <x:c r="C548" s="6" t="e">
        <x:f>LEFT(H548,SEARCH("]",H548))</x:f>
        <x:v>#VALUE!</x:v>
      </x:c>
      <x:c r="D548" s="5" t="e">
        <x:f>MID(H548,SEARCH("]",H548)+1,200)</x:f>
        <x:v>#VALUE!</x:v>
      </x:c>
      <x:c r="H548" s="3"/>
      <x:c r="L548" s="3"/>
      <x:c r="M548" s="3"/>
    </x:row>
    <x:row r="549" spans="3:13">
      <x:c r="C549" s="6" t="e">
        <x:f>LEFT(H549,SEARCH("]",H549))</x:f>
        <x:v>#VALUE!</x:v>
      </x:c>
      <x:c r="D549" s="5" t="e">
        <x:f>MID(H549,SEARCH("]",H549)+1,200)</x:f>
        <x:v>#VALUE!</x:v>
      </x:c>
      <x:c r="H549" s="3"/>
      <x:c r="L549" s="3"/>
      <x:c r="M549" s="3"/>
    </x:row>
    <x:row r="550" spans="3:13">
      <x:c r="C550" s="6" t="e">
        <x:f>LEFT(H550,SEARCH("]",H550))</x:f>
        <x:v>#VALUE!</x:v>
      </x:c>
      <x:c r="D550" s="5" t="e">
        <x:f>MID(H550,SEARCH("]",H550)+1,200)</x:f>
        <x:v>#VALUE!</x:v>
      </x:c>
      <x:c r="H550" s="3"/>
      <x:c r="L550" s="3"/>
      <x:c r="M550" s="3"/>
    </x:row>
    <x:row r="551" spans="3:13">
      <x:c r="C551" s="6" t="e">
        <x:f>LEFT(H551,SEARCH("]",H551))</x:f>
        <x:v>#VALUE!</x:v>
      </x:c>
      <x:c r="D551" s="5" t="e">
        <x:f>MID(H551,SEARCH("]",H551)+1,200)</x:f>
        <x:v>#VALUE!</x:v>
      </x:c>
      <x:c r="H551" s="3"/>
      <x:c r="L551" s="3"/>
      <x:c r="M551" s="3"/>
    </x:row>
    <x:row r="552" spans="3:13">
      <x:c r="C552" s="6" t="e">
        <x:f>LEFT(H552,SEARCH("]",H552))</x:f>
        <x:v>#VALUE!</x:v>
      </x:c>
      <x:c r="D552" s="5" t="e">
        <x:f>MID(H552,SEARCH("]",H552)+1,200)</x:f>
        <x:v>#VALUE!</x:v>
      </x:c>
      <x:c r="H552" s="3"/>
      <x:c r="L552" s="3"/>
      <x:c r="M552" s="3"/>
    </x:row>
    <x:row r="553" spans="3:13">
      <x:c r="C553" s="6" t="e">
        <x:f>LEFT(H553,SEARCH("]",H553))</x:f>
        <x:v>#VALUE!</x:v>
      </x:c>
      <x:c r="D553" s="5" t="e">
        <x:f>MID(H553,SEARCH("]",H553)+1,200)</x:f>
        <x:v>#VALUE!</x:v>
      </x:c>
      <x:c r="H553" s="3"/>
      <x:c r="L553" s="3"/>
      <x:c r="M553" s="3"/>
    </x:row>
    <x:row r="554" spans="3:13">
      <x:c r="C554" s="6" t="e">
        <x:f>LEFT(H554,SEARCH("]",H554))</x:f>
        <x:v>#VALUE!</x:v>
      </x:c>
      <x:c r="D554" s="5" t="e">
        <x:f>MID(H554,SEARCH("]",H554)+1,200)</x:f>
        <x:v>#VALUE!</x:v>
      </x:c>
      <x:c r="H554" s="3"/>
      <x:c r="L554" s="3"/>
      <x:c r="M554" s="3"/>
    </x:row>
    <x:row r="555" spans="3:13">
      <x:c r="C555" s="6" t="e">
        <x:f>LEFT(H555,SEARCH("]",H555))</x:f>
        <x:v>#VALUE!</x:v>
      </x:c>
      <x:c r="D555" s="5" t="e">
        <x:f>MID(H555,SEARCH("]",H555)+1,200)</x:f>
        <x:v>#VALUE!</x:v>
      </x:c>
      <x:c r="H555" s="3"/>
      <x:c r="L555" s="3"/>
      <x:c r="M555" s="3"/>
    </x:row>
    <x:row r="556" spans="3:13">
      <x:c r="C556" s="6" t="e">
        <x:f>LEFT(H556,SEARCH("]",H556))</x:f>
        <x:v>#VALUE!</x:v>
      </x:c>
      <x:c r="D556" s="5" t="e">
        <x:f>MID(H556,SEARCH("]",H556)+1,200)</x:f>
        <x:v>#VALUE!</x:v>
      </x:c>
      <x:c r="H556" s="3"/>
      <x:c r="L556" s="3"/>
      <x:c r="M556" s="3"/>
    </x:row>
    <x:row r="557" spans="3:13">
      <x:c r="C557" s="6" t="e">
        <x:f>LEFT(H557,SEARCH("]",H557))</x:f>
        <x:v>#VALUE!</x:v>
      </x:c>
      <x:c r="D557" s="5" t="e">
        <x:f>MID(H557,SEARCH("]",H557)+1,200)</x:f>
        <x:v>#VALUE!</x:v>
      </x:c>
      <x:c r="H557" s="3"/>
      <x:c r="L557" s="3"/>
      <x:c r="M557" s="3"/>
    </x:row>
    <x:row r="558" spans="3:13">
      <x:c r="C558" s="6" t="e">
        <x:f>LEFT(H558,SEARCH("]",H558))</x:f>
        <x:v>#VALUE!</x:v>
      </x:c>
      <x:c r="D558" s="5" t="e">
        <x:f>MID(H558,SEARCH("]",H558)+1,200)</x:f>
        <x:v>#VALUE!</x:v>
      </x:c>
      <x:c r="H558" s="3"/>
      <x:c r="L558" s="3"/>
      <x:c r="M558" s="3"/>
    </x:row>
    <x:row r="559" spans="3:13">
      <x:c r="C559" s="6" t="e">
        <x:f>LEFT(H559,SEARCH("]",H559))</x:f>
        <x:v>#VALUE!</x:v>
      </x:c>
      <x:c r="D559" s="5" t="e">
        <x:f>MID(H559,SEARCH("]",H559)+1,200)</x:f>
        <x:v>#VALUE!</x:v>
      </x:c>
      <x:c r="H559" s="3"/>
      <x:c r="L559" s="3"/>
      <x:c r="M559" s="3"/>
    </x:row>
    <x:row r="560" spans="3:13">
      <x:c r="C560" s="6" t="e">
        <x:f>LEFT(H560,SEARCH("]",H560))</x:f>
        <x:v>#VALUE!</x:v>
      </x:c>
      <x:c r="D560" s="5" t="e">
        <x:f>MID(H560,SEARCH("]",H560)+1,200)</x:f>
        <x:v>#VALUE!</x:v>
      </x:c>
      <x:c r="H560" s="3"/>
      <x:c r="L560" s="3"/>
      <x:c r="M560" s="3"/>
    </x:row>
    <x:row r="561" spans="3:13">
      <x:c r="C561" s="6" t="e">
        <x:f>LEFT(H561,SEARCH("]",H561))</x:f>
        <x:v>#VALUE!</x:v>
      </x:c>
      <x:c r="D561" s="5" t="e">
        <x:f>MID(H561,SEARCH("]",H561)+1,200)</x:f>
        <x:v>#VALUE!</x:v>
      </x:c>
      <x:c r="H561" s="3"/>
      <x:c r="L561" s="3"/>
      <x:c r="M561" s="3"/>
    </x:row>
    <x:row r="562" spans="3:13">
      <x:c r="C562" s="6" t="e">
        <x:f>LEFT(H562,SEARCH("]",H562))</x:f>
        <x:v>#VALUE!</x:v>
      </x:c>
      <x:c r="D562" s="5" t="e">
        <x:f>MID(H562,SEARCH("]",H562)+1,200)</x:f>
        <x:v>#VALUE!</x:v>
      </x:c>
      <x:c r="H562" s="3"/>
      <x:c r="L562" s="3"/>
      <x:c r="M562" s="3"/>
    </x:row>
    <x:row r="563" spans="3:13">
      <x:c r="C563" s="6" t="e">
        <x:f>LEFT(H563,SEARCH("]",H563))</x:f>
        <x:v>#VALUE!</x:v>
      </x:c>
      <x:c r="D563" s="5" t="e">
        <x:f>MID(H563,SEARCH("]",H563)+1,200)</x:f>
        <x:v>#VALUE!</x:v>
      </x:c>
      <x:c r="H563" s="3"/>
      <x:c r="L563" s="3"/>
      <x:c r="M563" s="3"/>
    </x:row>
    <x:row r="564" spans="3:13">
      <x:c r="C564" s="6" t="e">
        <x:f>LEFT(H564,SEARCH("]",H564))</x:f>
        <x:v>#VALUE!</x:v>
      </x:c>
      <x:c r="D564" s="5" t="e">
        <x:f>MID(H564,SEARCH("]",H564)+1,200)</x:f>
        <x:v>#VALUE!</x:v>
      </x:c>
      <x:c r="H564" s="3"/>
      <x:c r="L564" s="3"/>
      <x:c r="M564" s="3"/>
    </x:row>
    <x:row r="565" spans="3:13">
      <x:c r="C565" s="6" t="e">
        <x:f>LEFT(H565,SEARCH("]",H565))</x:f>
        <x:v>#VALUE!</x:v>
      </x:c>
      <x:c r="D565" s="5" t="e">
        <x:f>MID(H565,SEARCH("]",H565)+1,200)</x:f>
        <x:v>#VALUE!</x:v>
      </x:c>
      <x:c r="H565" s="3"/>
      <x:c r="L565" s="3"/>
      <x:c r="M565" s="3"/>
    </x:row>
    <x:row r="566" spans="3:13">
      <x:c r="C566" s="6" t="e">
        <x:f>LEFT(H566,SEARCH("]",H566))</x:f>
        <x:v>#VALUE!</x:v>
      </x:c>
      <x:c r="D566" s="5" t="e">
        <x:f>MID(H566,SEARCH("]",H566)+1,200)</x:f>
        <x:v>#VALUE!</x:v>
      </x:c>
      <x:c r="H566" s="3"/>
      <x:c r="L566" s="3"/>
      <x:c r="M566" s="3"/>
    </x:row>
    <x:row r="567" spans="3:13">
      <x:c r="C567" s="6" t="e">
        <x:f>LEFT(H567,SEARCH("]",H567))</x:f>
        <x:v>#VALUE!</x:v>
      </x:c>
      <x:c r="D567" s="5" t="e">
        <x:f>MID(H567,SEARCH("]",H567)+1,200)</x:f>
        <x:v>#VALUE!</x:v>
      </x:c>
      <x:c r="H567" s="3"/>
      <x:c r="L567" s="3"/>
      <x:c r="M567" s="3"/>
    </x:row>
    <x:row r="568" spans="3:13">
      <x:c r="C568" s="6" t="e">
        <x:f>LEFT(H568,SEARCH("]",H568))</x:f>
        <x:v>#VALUE!</x:v>
      </x:c>
      <x:c r="D568" s="5" t="e">
        <x:f>MID(H568,SEARCH("]",H568)+1,200)</x:f>
        <x:v>#VALUE!</x:v>
      </x:c>
      <x:c r="H568" s="3"/>
      <x:c r="L568" s="3"/>
      <x:c r="M568" s="3"/>
    </x:row>
    <x:row r="569" spans="3:13">
      <x:c r="C569" s="6" t="e">
        <x:f>LEFT(H569,SEARCH("]",H569))</x:f>
        <x:v>#VALUE!</x:v>
      </x:c>
      <x:c r="D569" s="5" t="e">
        <x:f>MID(H569,SEARCH("]",H569)+1,200)</x:f>
        <x:v>#VALUE!</x:v>
      </x:c>
      <x:c r="H569" s="3"/>
      <x:c r="L569" s="3"/>
      <x:c r="M569" s="3"/>
    </x:row>
    <x:row r="570" spans="3:13">
      <x:c r="C570" s="6" t="e">
        <x:f>LEFT(H570,SEARCH("]",H570))</x:f>
        <x:v>#VALUE!</x:v>
      </x:c>
      <x:c r="D570" s="5" t="e">
        <x:f>MID(H570,SEARCH("]",H570)+1,200)</x:f>
        <x:v>#VALUE!</x:v>
      </x:c>
      <x:c r="H570" s="3"/>
      <x:c r="L570" s="3"/>
      <x:c r="M570" s="3"/>
    </x:row>
    <x:row r="571" spans="3:13">
      <x:c r="C571" s="6" t="e">
        <x:f>LEFT(H571,SEARCH("]",H571))</x:f>
        <x:v>#VALUE!</x:v>
      </x:c>
      <x:c r="D571" s="5" t="e">
        <x:f>MID(H571,SEARCH("]",H571)+1,200)</x:f>
        <x:v>#VALUE!</x:v>
      </x:c>
      <x:c r="H571" s="3"/>
      <x:c r="L571" s="3"/>
      <x:c r="M571" s="3"/>
    </x:row>
    <x:row r="572" spans="3:13">
      <x:c r="C572" s="6" t="e">
        <x:f>LEFT(H572,SEARCH("]",H572))</x:f>
        <x:v>#VALUE!</x:v>
      </x:c>
      <x:c r="D572" s="5" t="e">
        <x:f>MID(H572,SEARCH("]",H572)+1,200)</x:f>
        <x:v>#VALUE!</x:v>
      </x:c>
      <x:c r="H572" s="3"/>
      <x:c r="L572" s="3"/>
      <x:c r="M572" s="3"/>
    </x:row>
    <x:row r="573" spans="3:13">
      <x:c r="C573" s="6" t="e">
        <x:f>LEFT(H573,SEARCH("]",H573))</x:f>
        <x:v>#VALUE!</x:v>
      </x:c>
      <x:c r="D573" s="5" t="e">
        <x:f>MID(H573,SEARCH("]",H573)+1,200)</x:f>
        <x:v>#VALUE!</x:v>
      </x:c>
      <x:c r="H573" s="3"/>
      <x:c r="L573" s="3"/>
      <x:c r="M573" s="3"/>
    </x:row>
    <x:row r="574" spans="3:13">
      <x:c r="C574" s="6" t="e">
        <x:f>LEFT(H574,SEARCH("]",H574))</x:f>
        <x:v>#VALUE!</x:v>
      </x:c>
      <x:c r="D574" s="5" t="e">
        <x:f>MID(H574,SEARCH("]",H574)+1,200)</x:f>
        <x:v>#VALUE!</x:v>
      </x:c>
      <x:c r="H574" s="3"/>
      <x:c r="L574" s="3"/>
      <x:c r="M574" s="3"/>
    </x:row>
    <x:row r="575" spans="3:13">
      <x:c r="C575" s="6" t="e">
        <x:f>LEFT(H575,SEARCH("]",H575))</x:f>
        <x:v>#VALUE!</x:v>
      </x:c>
      <x:c r="D575" s="5" t="e">
        <x:f>MID(H575,SEARCH("]",H575)+1,200)</x:f>
        <x:v>#VALUE!</x:v>
      </x:c>
      <x:c r="H575" s="3"/>
      <x:c r="L575" s="3"/>
      <x:c r="M575" s="3"/>
    </x:row>
    <x:row r="576" spans="3:13">
      <x:c r="C576" s="6" t="e">
        <x:f>LEFT(H576,SEARCH("]",H576))</x:f>
        <x:v>#VALUE!</x:v>
      </x:c>
      <x:c r="D576" s="5" t="e">
        <x:f>MID(H576,SEARCH("]",H576)+1,200)</x:f>
        <x:v>#VALUE!</x:v>
      </x:c>
      <x:c r="H576" s="3"/>
      <x:c r="L576" s="3"/>
      <x:c r="M576" s="3"/>
    </x:row>
    <x:row r="577" spans="3:13">
      <x:c r="C577" s="6" t="e">
        <x:f>LEFT(H577,SEARCH("]",H577))</x:f>
        <x:v>#VALUE!</x:v>
      </x:c>
      <x:c r="D577" s="5" t="e">
        <x:f>MID(H577,SEARCH("]",H577)+1,200)</x:f>
        <x:v>#VALUE!</x:v>
      </x:c>
      <x:c r="H577" s="3"/>
      <x:c r="L577" s="3"/>
      <x:c r="M577" s="3"/>
    </x:row>
    <x:row r="578" spans="3:13">
      <x:c r="C578" s="6" t="e">
        <x:f>LEFT(H578,SEARCH("]",H578))</x:f>
        <x:v>#VALUE!</x:v>
      </x:c>
      <x:c r="D578" s="5" t="e">
        <x:f>MID(H578,SEARCH("]",H578)+1,200)</x:f>
        <x:v>#VALUE!</x:v>
      </x:c>
      <x:c r="H578" s="3"/>
      <x:c r="L578" s="3"/>
      <x:c r="M578" s="3"/>
    </x:row>
    <x:row r="579" spans="3:13">
      <x:c r="C579" s="6" t="e">
        <x:f>LEFT(H579,SEARCH("]",H579))</x:f>
        <x:v>#VALUE!</x:v>
      </x:c>
      <x:c r="D579" s="5" t="e">
        <x:f>MID(H579,SEARCH("]",H579)+1,200)</x:f>
        <x:v>#VALUE!</x:v>
      </x:c>
      <x:c r="H579" s="3"/>
      <x:c r="L579" s="3"/>
      <x:c r="M579" s="3"/>
    </x:row>
    <x:row r="580" spans="3:13">
      <x:c r="C580" s="6" t="e">
        <x:f>LEFT(H580,SEARCH("]",H580))</x:f>
        <x:v>#VALUE!</x:v>
      </x:c>
      <x:c r="D580" s="5" t="e">
        <x:f>MID(H580,SEARCH("]",H580)+1,200)</x:f>
        <x:v>#VALUE!</x:v>
      </x:c>
      <x:c r="H580" s="3"/>
      <x:c r="L580" s="3"/>
      <x:c r="M580" s="3"/>
    </x:row>
    <x:row r="581" spans="3:13">
      <x:c r="C581" s="6" t="e">
        <x:f>LEFT(H581,SEARCH("]",H581))</x:f>
        <x:v>#VALUE!</x:v>
      </x:c>
      <x:c r="D581" s="5" t="e">
        <x:f>MID(H581,SEARCH("]",H581)+1,200)</x:f>
        <x:v>#VALUE!</x:v>
      </x:c>
      <x:c r="H581" s="3"/>
      <x:c r="L581" s="3"/>
      <x:c r="M581" s="3"/>
    </x:row>
    <x:row r="582" spans="3:13">
      <x:c r="C582" s="6" t="e">
        <x:f>LEFT(H582,SEARCH("]",H582))</x:f>
        <x:v>#VALUE!</x:v>
      </x:c>
      <x:c r="D582" s="5" t="e">
        <x:f>MID(H582,SEARCH("]",H582)+1,200)</x:f>
        <x:v>#VALUE!</x:v>
      </x:c>
      <x:c r="H582" s="3"/>
      <x:c r="L582" s="3"/>
      <x:c r="M582" s="3"/>
    </x:row>
    <x:row r="583" spans="3:13">
      <x:c r="C583" s="6" t="e">
        <x:f>LEFT(H583,SEARCH("]",H583))</x:f>
        <x:v>#VALUE!</x:v>
      </x:c>
      <x:c r="D583" s="5" t="e">
        <x:f>MID(H583,SEARCH("]",H583)+1,200)</x:f>
        <x:v>#VALUE!</x:v>
      </x:c>
      <x:c r="H583" s="3"/>
      <x:c r="L583" s="3"/>
      <x:c r="M583" s="3"/>
    </x:row>
    <x:row r="584" spans="3:13">
      <x:c r="C584" s="6" t="e">
        <x:f>LEFT(H584,SEARCH("]",H584))</x:f>
        <x:v>#VALUE!</x:v>
      </x:c>
      <x:c r="D584" s="5" t="e">
        <x:f>MID(H584,SEARCH("]",H584)+1,200)</x:f>
        <x:v>#VALUE!</x:v>
      </x:c>
      <x:c r="H584" s="3"/>
      <x:c r="L584" s="3"/>
      <x:c r="M584" s="3"/>
    </x:row>
    <x:row r="585" spans="3:13">
      <x:c r="C585" s="6" t="e">
        <x:f>LEFT(H585,SEARCH("]",H585))</x:f>
        <x:v>#VALUE!</x:v>
      </x:c>
      <x:c r="D585" s="5" t="e">
        <x:f>MID(H585,SEARCH("]",H585)+1,200)</x:f>
        <x:v>#VALUE!</x:v>
      </x:c>
      <x:c r="H585" s="3"/>
      <x:c r="L585" s="3"/>
      <x:c r="M585" s="3"/>
    </x:row>
    <x:row r="586" spans="3:13">
      <x:c r="C586" s="6" t="e">
        <x:f>LEFT(H586,SEARCH("]",H586))</x:f>
        <x:v>#VALUE!</x:v>
      </x:c>
      <x:c r="D586" s="5" t="e">
        <x:f>MID(H586,SEARCH("]",H586)+1,200)</x:f>
        <x:v>#VALUE!</x:v>
      </x:c>
      <x:c r="H586" s="3"/>
      <x:c r="L586" s="3"/>
      <x:c r="M586" s="3"/>
    </x:row>
    <x:row r="587" spans="3:13">
      <x:c r="C587" s="6" t="e">
        <x:f>LEFT(H587,SEARCH("]",H587))</x:f>
        <x:v>#VALUE!</x:v>
      </x:c>
      <x:c r="D587" s="5" t="e">
        <x:f>MID(H587,SEARCH("]",H587)+1,200)</x:f>
        <x:v>#VALUE!</x:v>
      </x:c>
      <x:c r="H587" s="3"/>
      <x:c r="L587" s="3"/>
      <x:c r="M587" s="3"/>
    </x:row>
    <x:row r="588" spans="3:13">
      <x:c r="C588" s="6" t="e">
        <x:f>LEFT(H588,SEARCH("]",H588))</x:f>
        <x:v>#VALUE!</x:v>
      </x:c>
      <x:c r="D588" s="5" t="e">
        <x:f>MID(H588,SEARCH("]",H588)+1,200)</x:f>
        <x:v>#VALUE!</x:v>
      </x:c>
      <x:c r="H588" s="3"/>
      <x:c r="L588" s="3"/>
      <x:c r="M588" s="3"/>
    </x:row>
    <x:row r="589" spans="3:13">
      <x:c r="C589" s="6" t="e">
        <x:f>LEFT(H589,SEARCH("]",H589))</x:f>
        <x:v>#VALUE!</x:v>
      </x:c>
      <x:c r="D589" s="5" t="e">
        <x:f>MID(H589,SEARCH("]",H589)+1,200)</x:f>
        <x:v>#VALUE!</x:v>
      </x:c>
      <x:c r="H589" s="3"/>
      <x:c r="L589" s="3"/>
      <x:c r="M589" s="3"/>
    </x:row>
    <x:row r="590" spans="3:13">
      <x:c r="C590" s="6" t="e">
        <x:f>LEFT(H590,SEARCH("]",H590))</x:f>
        <x:v>#VALUE!</x:v>
      </x:c>
      <x:c r="D590" s="5" t="e">
        <x:f>MID(H590,SEARCH("]",H590)+1,200)</x:f>
        <x:v>#VALUE!</x:v>
      </x:c>
      <x:c r="H590" s="3"/>
      <x:c r="L590" s="3"/>
      <x:c r="M590" s="3"/>
    </x:row>
    <x:row r="591" spans="3:13">
      <x:c r="C591" s="6" t="e">
        <x:f>LEFT(H591,SEARCH("]",H591))</x:f>
        <x:v>#VALUE!</x:v>
      </x:c>
      <x:c r="D591" s="5" t="e">
        <x:f>MID(H591,SEARCH("]",H591)+1,200)</x:f>
        <x:v>#VALUE!</x:v>
      </x:c>
      <x:c r="H591" s="3"/>
      <x:c r="L591" s="3"/>
      <x:c r="M591" s="3"/>
    </x:row>
    <x:row r="592" spans="3:13">
      <x:c r="C592" s="6" t="e">
        <x:f>LEFT(H592,SEARCH("]",H592))</x:f>
        <x:v>#VALUE!</x:v>
      </x:c>
      <x:c r="D592" s="5" t="e">
        <x:f>MID(H592,SEARCH("]",H592)+1,200)</x:f>
        <x:v>#VALUE!</x:v>
      </x:c>
      <x:c r="H592" s="3"/>
      <x:c r="L592" s="3"/>
      <x:c r="M592" s="3"/>
    </x:row>
    <x:row r="593" spans="3:13">
      <x:c r="C593" s="6" t="e">
        <x:f>LEFT(H593,SEARCH("]",H593))</x:f>
        <x:v>#VALUE!</x:v>
      </x:c>
      <x:c r="D593" s="5" t="e">
        <x:f>MID(H593,SEARCH("]",H593)+1,200)</x:f>
        <x:v>#VALUE!</x:v>
      </x:c>
      <x:c r="H593" s="3"/>
      <x:c r="L593" s="3"/>
      <x:c r="M593" s="3"/>
    </x:row>
    <x:row r="594" spans="3:13">
      <x:c r="C594" s="6" t="e">
        <x:f>LEFT(H594,SEARCH("]",H594))</x:f>
        <x:v>#VALUE!</x:v>
      </x:c>
      <x:c r="D594" s="5" t="e">
        <x:f>MID(H594,SEARCH("]",H594)+1,200)</x:f>
        <x:v>#VALUE!</x:v>
      </x:c>
      <x:c r="H594" s="3"/>
      <x:c r="L594" s="3"/>
      <x:c r="M594" s="3"/>
    </x:row>
    <x:row r="595" spans="3:13">
      <x:c r="C595" s="6" t="e">
        <x:f>LEFT(H595,SEARCH("]",H595))</x:f>
        <x:v>#VALUE!</x:v>
      </x:c>
      <x:c r="D595" s="5" t="e">
        <x:f>MID(H595,SEARCH("]",H595)+1,200)</x:f>
        <x:v>#VALUE!</x:v>
      </x:c>
      <x:c r="H595" s="3"/>
      <x:c r="L595" s="3"/>
      <x:c r="M595" s="3"/>
    </x:row>
    <x:row r="596" spans="3:13">
      <x:c r="C596" s="6" t="e">
        <x:f>LEFT(H596,SEARCH("]",H596))</x:f>
        <x:v>#VALUE!</x:v>
      </x:c>
      <x:c r="D596" s="5" t="e">
        <x:f>MID(H596,SEARCH("]",H596)+1,200)</x:f>
        <x:v>#VALUE!</x:v>
      </x:c>
      <x:c r="H596" s="3"/>
      <x:c r="L596" s="3"/>
      <x:c r="M596" s="3"/>
    </x:row>
    <x:row r="597" spans="3:13">
      <x:c r="C597" s="6" t="e">
        <x:f>LEFT(H597,SEARCH("]",H597))</x:f>
        <x:v>#VALUE!</x:v>
      </x:c>
      <x:c r="D597" s="5" t="e">
        <x:f>MID(H597,SEARCH("]",H597)+1,200)</x:f>
        <x:v>#VALUE!</x:v>
      </x:c>
      <x:c r="H597" s="3"/>
      <x:c r="L597" s="3"/>
      <x:c r="M597" s="3"/>
    </x:row>
    <x:row r="598" spans="3:13">
      <x:c r="C598" s="6" t="e">
        <x:f>LEFT(H598,SEARCH("]",H598))</x:f>
        <x:v>#VALUE!</x:v>
      </x:c>
      <x:c r="D598" s="5" t="e">
        <x:f>MID(H598,SEARCH("]",H598)+1,200)</x:f>
        <x:v>#VALUE!</x:v>
      </x:c>
      <x:c r="H598" s="3"/>
      <x:c r="L598" s="3"/>
      <x:c r="M598" s="3"/>
    </x:row>
    <x:row r="599" spans="3:13">
      <x:c r="C599" s="6" t="e">
        <x:f>LEFT(H599,SEARCH("]",H599))</x:f>
        <x:v>#VALUE!</x:v>
      </x:c>
      <x:c r="D599" s="5" t="e">
        <x:f>MID(H599,SEARCH("]",H599)+1,200)</x:f>
        <x:v>#VALUE!</x:v>
      </x:c>
      <x:c r="H599" s="3"/>
      <x:c r="L599" s="3"/>
      <x:c r="M599" s="3"/>
    </x:row>
    <x:row r="600" spans="3:13">
      <x:c r="C600" s="6" t="e">
        <x:f>LEFT(H600,SEARCH("]",H600))</x:f>
        <x:v>#VALUE!</x:v>
      </x:c>
      <x:c r="D600" s="5" t="e">
        <x:f>MID(H600,SEARCH("]",H600)+1,200)</x:f>
        <x:v>#VALUE!</x:v>
      </x:c>
      <x:c r="H600" s="3"/>
      <x:c r="L600" s="3"/>
      <x:c r="M600" s="3"/>
    </x:row>
    <x:row r="601" spans="3:13">
      <x:c r="C601" s="6" t="e">
        <x:f>LEFT(H601,SEARCH("]",H601))</x:f>
        <x:v>#VALUE!</x:v>
      </x:c>
      <x:c r="D601" s="5" t="e">
        <x:f>MID(H601,SEARCH("]",H601)+1,200)</x:f>
        <x:v>#VALUE!</x:v>
      </x:c>
      <x:c r="H601" s="3"/>
      <x:c r="L601" s="3"/>
      <x:c r="M601" s="3"/>
    </x:row>
    <x:row r="602" spans="3:13">
      <x:c r="C602" s="6" t="e">
        <x:f>LEFT(H602,SEARCH("]",H602))</x:f>
        <x:v>#VALUE!</x:v>
      </x:c>
      <x:c r="D602" s="5" t="e">
        <x:f>MID(H602,SEARCH("]",H602)+1,200)</x:f>
        <x:v>#VALUE!</x:v>
      </x:c>
      <x:c r="H602" s="3"/>
      <x:c r="L602" s="3"/>
      <x:c r="M602" s="3"/>
    </x:row>
    <x:row r="603" spans="3:13">
      <x:c r="C603" s="6" t="e">
        <x:f>LEFT(H603,SEARCH("]",H603))</x:f>
        <x:v>#VALUE!</x:v>
      </x:c>
      <x:c r="D603" s="5" t="e">
        <x:f>MID(H603,SEARCH("]",H603)+1,200)</x:f>
        <x:v>#VALUE!</x:v>
      </x:c>
      <x:c r="H603" s="3"/>
      <x:c r="L603" s="3"/>
      <x:c r="M603" s="3"/>
    </x:row>
    <x:row r="604" spans="3:13">
      <x:c r="C604" s="6" t="e">
        <x:f>LEFT(H604,SEARCH("]",H604))</x:f>
        <x:v>#VALUE!</x:v>
      </x:c>
      <x:c r="D604" s="5" t="e">
        <x:f>MID(H604,SEARCH("]",H604)+1,200)</x:f>
        <x:v>#VALUE!</x:v>
      </x:c>
      <x:c r="H604" s="3"/>
      <x:c r="L604" s="3"/>
      <x:c r="M604" s="3"/>
    </x:row>
    <x:row r="605" spans="3:13">
      <x:c r="C605" s="6" t="e">
        <x:f>LEFT(H605,SEARCH("]",H605))</x:f>
        <x:v>#VALUE!</x:v>
      </x:c>
      <x:c r="D605" s="5" t="e">
        <x:f>MID(H605,SEARCH("]",H605)+1,200)</x:f>
        <x:v>#VALUE!</x:v>
      </x:c>
      <x:c r="H605" s="3"/>
      <x:c r="L605" s="3"/>
      <x:c r="M605" s="3"/>
    </x:row>
    <x:row r="606" spans="3:13">
      <x:c r="C606" s="6" t="e">
        <x:f>LEFT(H606,SEARCH("]",H606))</x:f>
        <x:v>#VALUE!</x:v>
      </x:c>
      <x:c r="D606" s="5" t="e">
        <x:f>MID(H606,SEARCH("]",H606)+1,200)</x:f>
        <x:v>#VALUE!</x:v>
      </x:c>
      <x:c r="H606" s="3"/>
      <x:c r="L606" s="3"/>
      <x:c r="M606" s="3"/>
    </x:row>
    <x:row r="607" spans="3:13">
      <x:c r="C607" s="6" t="e">
        <x:f>LEFT(H607,SEARCH("]",H607))</x:f>
        <x:v>#VALUE!</x:v>
      </x:c>
      <x:c r="D607" s="5" t="e">
        <x:f>MID(H607,SEARCH("]",H607)+1,200)</x:f>
        <x:v>#VALUE!</x:v>
      </x:c>
      <x:c r="H607" s="3"/>
      <x:c r="L607" s="3"/>
      <x:c r="M607" s="3"/>
    </x:row>
    <x:row r="608" spans="3:13">
      <x:c r="C608" s="6" t="e">
        <x:f>LEFT(H608,SEARCH("]",H608))</x:f>
        <x:v>#VALUE!</x:v>
      </x:c>
      <x:c r="D608" s="5" t="e">
        <x:f>MID(H608,SEARCH("]",H608)+1,200)</x:f>
        <x:v>#VALUE!</x:v>
      </x:c>
      <x:c r="H608" s="3"/>
      <x:c r="L608" s="3"/>
      <x:c r="M608" s="3"/>
    </x:row>
    <x:row r="609" spans="3:13">
      <x:c r="C609" s="6" t="e">
        <x:f>LEFT(H609,SEARCH("]",H609))</x:f>
        <x:v>#VALUE!</x:v>
      </x:c>
      <x:c r="D609" s="5" t="e">
        <x:f>MID(H609,SEARCH("]",H609)+1,200)</x:f>
        <x:v>#VALUE!</x:v>
      </x:c>
      <x:c r="H609" s="3"/>
      <x:c r="L609" s="3"/>
      <x:c r="M609" s="3"/>
    </x:row>
    <x:row r="610" spans="3:13">
      <x:c r="C610" s="6" t="e">
        <x:f>LEFT(H610,SEARCH("]",H610))</x:f>
        <x:v>#VALUE!</x:v>
      </x:c>
      <x:c r="D610" s="5" t="e">
        <x:f>MID(H610,SEARCH("]",H610)+1,200)</x:f>
        <x:v>#VALUE!</x:v>
      </x:c>
      <x:c r="H610" s="3"/>
      <x:c r="L610" s="3"/>
      <x:c r="M610" s="3"/>
    </x:row>
    <x:row r="611" spans="3:13">
      <x:c r="C611" s="6" t="e">
        <x:f>LEFT(H611,SEARCH("]",H611))</x:f>
        <x:v>#VALUE!</x:v>
      </x:c>
      <x:c r="D611" s="5" t="e">
        <x:f>MID(H611,SEARCH("]",H611)+1,200)</x:f>
        <x:v>#VALUE!</x:v>
      </x:c>
      <x:c r="H611" s="3"/>
      <x:c r="L611" s="3"/>
      <x:c r="M611" s="3"/>
    </x:row>
    <x:row r="612" spans="3:13">
      <x:c r="C612" s="6" t="e">
        <x:f>LEFT(H612,SEARCH("]",H612))</x:f>
        <x:v>#VALUE!</x:v>
      </x:c>
      <x:c r="D612" s="5" t="e">
        <x:f>MID(H612,SEARCH("]",H612)+1,200)</x:f>
        <x:v>#VALUE!</x:v>
      </x:c>
      <x:c r="H612" s="3"/>
      <x:c r="L612" s="3"/>
      <x:c r="M612" s="3"/>
    </x:row>
    <x:row r="613" spans="3:13">
      <x:c r="C613" s="6" t="e">
        <x:f>LEFT(H613,SEARCH("]",H613))</x:f>
        <x:v>#VALUE!</x:v>
      </x:c>
      <x:c r="D613" s="5" t="e">
        <x:f>MID(H613,SEARCH("]",H613)+1,200)</x:f>
        <x:v>#VALUE!</x:v>
      </x:c>
      <x:c r="H613" s="3"/>
      <x:c r="L613" s="3"/>
      <x:c r="M613" s="3"/>
    </x:row>
    <x:row r="614" spans="3:13">
      <x:c r="C614" s="6" t="e">
        <x:f>LEFT(H614,SEARCH("]",H614))</x:f>
        <x:v>#VALUE!</x:v>
      </x:c>
      <x:c r="D614" s="5" t="e">
        <x:f>MID(H614,SEARCH("]",H614)+1,200)</x:f>
        <x:v>#VALUE!</x:v>
      </x:c>
      <x:c r="H614" s="3"/>
      <x:c r="L614" s="3"/>
      <x:c r="M614" s="3"/>
    </x:row>
    <x:row r="615" spans="3:13">
      <x:c r="C615" s="6" t="e">
        <x:f>LEFT(H615,SEARCH("]",H615))</x:f>
        <x:v>#VALUE!</x:v>
      </x:c>
      <x:c r="D615" s="5" t="e">
        <x:f>MID(H615,SEARCH("]",H615)+1,200)</x:f>
        <x:v>#VALUE!</x:v>
      </x:c>
      <x:c r="H615" s="3"/>
      <x:c r="L615" s="3"/>
      <x:c r="M615" s="3"/>
    </x:row>
    <x:row r="616" spans="3:13">
      <x:c r="C616" s="6" t="e">
        <x:f>LEFT(H616,SEARCH("]",H616))</x:f>
        <x:v>#VALUE!</x:v>
      </x:c>
      <x:c r="D616" s="5" t="e">
        <x:f>MID(H616,SEARCH("]",H616)+1,200)</x:f>
        <x:v>#VALUE!</x:v>
      </x:c>
      <x:c r="H616" s="3"/>
      <x:c r="L616" s="3"/>
      <x:c r="M616" s="3"/>
    </x:row>
    <x:row r="617" spans="3:13">
      <x:c r="C617" s="6" t="e">
        <x:f>LEFT(H617,SEARCH("]",H617))</x:f>
        <x:v>#VALUE!</x:v>
      </x:c>
      <x:c r="D617" s="5" t="e">
        <x:f>MID(H617,SEARCH("]",H617)+1,200)</x:f>
        <x:v>#VALUE!</x:v>
      </x:c>
      <x:c r="H617" s="3"/>
      <x:c r="L617" s="3"/>
      <x:c r="M617" s="3"/>
    </x:row>
    <x:row r="618" spans="3:13">
      <x:c r="C618" s="6" t="e">
        <x:f>LEFT(H618,SEARCH("]",H618))</x:f>
        <x:v>#VALUE!</x:v>
      </x:c>
      <x:c r="D618" s="5" t="e">
        <x:f>MID(H618,SEARCH("]",H618)+1,200)</x:f>
        <x:v>#VALUE!</x:v>
      </x:c>
      <x:c r="H618" s="3"/>
      <x:c r="L618" s="3"/>
      <x:c r="M618" s="3"/>
    </x:row>
    <x:row r="619" spans="3:13">
      <x:c r="C619" s="6" t="e">
        <x:f>LEFT(H619,SEARCH("]",H619))</x:f>
        <x:v>#VALUE!</x:v>
      </x:c>
      <x:c r="D619" s="5" t="e">
        <x:f>MID(H619,SEARCH("]",H619)+1,200)</x:f>
        <x:v>#VALUE!</x:v>
      </x:c>
      <x:c r="H619" s="3"/>
      <x:c r="L619" s="3"/>
      <x:c r="M619" s="3"/>
    </x:row>
    <x:row r="620" spans="3:13">
      <x:c r="C620" s="6" t="e">
        <x:f>LEFT(H620,SEARCH("]",H620))</x:f>
        <x:v>#VALUE!</x:v>
      </x:c>
      <x:c r="D620" s="5" t="e">
        <x:f>MID(H620,SEARCH("]",H620)+1,200)</x:f>
        <x:v>#VALUE!</x:v>
      </x:c>
      <x:c r="H620" s="3"/>
      <x:c r="L620" s="3"/>
      <x:c r="M620" s="3"/>
    </x:row>
    <x:row r="621" spans="3:13">
      <x:c r="C621" s="6" t="e">
        <x:f>LEFT(H621,SEARCH("]",H621))</x:f>
        <x:v>#VALUE!</x:v>
      </x:c>
      <x:c r="D621" s="5" t="e">
        <x:f>MID(H621,SEARCH("]",H621)+1,200)</x:f>
        <x:v>#VALUE!</x:v>
      </x:c>
      <x:c r="H621" s="3"/>
      <x:c r="L621" s="3"/>
      <x:c r="M621" s="3"/>
    </x:row>
    <x:row r="622" spans="3:13">
      <x:c r="C622" s="6" t="e">
        <x:f>LEFT(H622,SEARCH("]",H622))</x:f>
        <x:v>#VALUE!</x:v>
      </x:c>
      <x:c r="D622" s="5" t="e">
        <x:f>MID(H622,SEARCH("]",H622)+1,200)</x:f>
        <x:v>#VALUE!</x:v>
      </x:c>
      <x:c r="H622" s="3"/>
      <x:c r="L622" s="3"/>
      <x:c r="M622" s="3"/>
    </x:row>
    <x:row r="623" spans="3:13">
      <x:c r="C623" s="6" t="e">
        <x:f>LEFT(H623,SEARCH("]",H623))</x:f>
        <x:v>#VALUE!</x:v>
      </x:c>
      <x:c r="D623" s="5" t="e">
        <x:f>MID(H623,SEARCH("]",H623)+1,200)</x:f>
        <x:v>#VALUE!</x:v>
      </x:c>
      <x:c r="H623" s="3"/>
      <x:c r="L623" s="3"/>
      <x:c r="M623" s="3"/>
    </x:row>
    <x:row r="624" spans="3:13">
      <x:c r="C624" s="6" t="e">
        <x:f>LEFT(H624,SEARCH("]",H624))</x:f>
        <x:v>#VALUE!</x:v>
      </x:c>
      <x:c r="D624" s="5" t="e">
        <x:f>MID(H624,SEARCH("]",H624)+1,200)</x:f>
        <x:v>#VALUE!</x:v>
      </x:c>
      <x:c r="H624" s="3"/>
      <x:c r="L624" s="3"/>
      <x:c r="M624" s="3"/>
    </x:row>
    <x:row r="625" spans="3:13">
      <x:c r="C625" s="6" t="e">
        <x:f>LEFT(H625,SEARCH("]",H625))</x:f>
        <x:v>#VALUE!</x:v>
      </x:c>
      <x:c r="D625" s="5" t="e">
        <x:f>MID(H625,SEARCH("]",H625)+1,200)</x:f>
        <x:v>#VALUE!</x:v>
      </x:c>
      <x:c r="H625" s="3"/>
      <x:c r="L625" s="3"/>
      <x:c r="M625" s="3"/>
    </x:row>
    <x:row r="626" spans="3:13">
      <x:c r="C626" s="6" t="e">
        <x:f>LEFT(H626,SEARCH("]",H626))</x:f>
        <x:v>#VALUE!</x:v>
      </x:c>
      <x:c r="D626" s="5" t="e">
        <x:f>MID(H626,SEARCH("]",H626)+1,200)</x:f>
        <x:v>#VALUE!</x:v>
      </x:c>
      <x:c r="H626" s="3"/>
      <x:c r="L626" s="3"/>
      <x:c r="M626" s="3"/>
    </x:row>
    <x:row r="627" spans="3:13">
      <x:c r="C627" s="6" t="e">
        <x:f>LEFT(H627,SEARCH("]",H627))</x:f>
        <x:v>#VALUE!</x:v>
      </x:c>
      <x:c r="D627" s="5" t="e">
        <x:f>MID(H627,SEARCH("]",H627)+1,200)</x:f>
        <x:v>#VALUE!</x:v>
      </x:c>
      <x:c r="H627" s="3"/>
      <x:c r="L627" s="3"/>
      <x:c r="M627" s="3"/>
    </x:row>
    <x:row r="628" spans="3:13">
      <x:c r="C628" s="6" t="e">
        <x:f>LEFT(H628,SEARCH("]",H628))</x:f>
        <x:v>#VALUE!</x:v>
      </x:c>
      <x:c r="D628" s="5" t="e">
        <x:f>MID(H628,SEARCH("]",H628)+1,200)</x:f>
        <x:v>#VALUE!</x:v>
      </x:c>
      <x:c r="H628" s="3"/>
      <x:c r="L628" s="3"/>
      <x:c r="M628" s="3"/>
    </x:row>
    <x:row r="629" spans="3:13">
      <x:c r="C629" s="6" t="e">
        <x:f>LEFT(H629,SEARCH("]",H629))</x:f>
        <x:v>#VALUE!</x:v>
      </x:c>
      <x:c r="D629" s="5" t="e">
        <x:f>MID(H629,SEARCH("]",H629)+1,200)</x:f>
        <x:v>#VALUE!</x:v>
      </x:c>
      <x:c r="H629" s="3"/>
      <x:c r="L629" s="3"/>
      <x:c r="M629" s="3"/>
    </x:row>
    <x:row r="630" spans="3:13">
      <x:c r="C630" s="6" t="e">
        <x:f>LEFT(H630,SEARCH("]",H630))</x:f>
        <x:v>#VALUE!</x:v>
      </x:c>
      <x:c r="D630" s="5" t="e">
        <x:f>MID(H630,SEARCH("]",H630)+1,200)</x:f>
        <x:v>#VALUE!</x:v>
      </x:c>
      <x:c r="H630" s="3"/>
      <x:c r="L630" s="3"/>
      <x:c r="M630" s="3"/>
    </x:row>
    <x:row r="631" spans="3:13">
      <x:c r="C631" s="6" t="e">
        <x:f>LEFT(H631,SEARCH("]",H631))</x:f>
        <x:v>#VALUE!</x:v>
      </x:c>
      <x:c r="D631" s="5" t="e">
        <x:f>MID(H631,SEARCH("]",H631)+1,200)</x:f>
        <x:v>#VALUE!</x:v>
      </x:c>
      <x:c r="H631" s="3"/>
      <x:c r="L631" s="3"/>
      <x:c r="M631" s="3"/>
    </x:row>
    <x:row r="632" spans="3:13">
      <x:c r="C632" s="6" t="e">
        <x:f>LEFT(H632,SEARCH("]",H632))</x:f>
        <x:v>#VALUE!</x:v>
      </x:c>
      <x:c r="D632" s="5" t="e">
        <x:f>MID(H632,SEARCH("]",H632)+1,200)</x:f>
        <x:v>#VALUE!</x:v>
      </x:c>
      <x:c r="H632" s="3"/>
      <x:c r="L632" s="3"/>
      <x:c r="M632" s="3"/>
    </x:row>
    <x:row r="633" spans="3:13">
      <x:c r="C633" s="6" t="e">
        <x:f>LEFT(H633,SEARCH("]",H633))</x:f>
        <x:v>#VALUE!</x:v>
      </x:c>
      <x:c r="D633" s="5" t="e">
        <x:f>MID(H633,SEARCH("]",H633)+1,200)</x:f>
        <x:v>#VALUE!</x:v>
      </x:c>
      <x:c r="H633" s="3"/>
      <x:c r="L633" s="3"/>
      <x:c r="M633" s="3"/>
    </x:row>
    <x:row r="634" spans="3:13">
      <x:c r="C634" s="6" t="e">
        <x:f>LEFT(H634,SEARCH("]",H634))</x:f>
        <x:v>#VALUE!</x:v>
      </x:c>
      <x:c r="D634" s="5" t="e">
        <x:f>MID(H634,SEARCH("]",H634)+1,200)</x:f>
        <x:v>#VALUE!</x:v>
      </x:c>
      <x:c r="H634" s="3"/>
      <x:c r="L634" s="3"/>
      <x:c r="M634" s="3"/>
    </x:row>
    <x:row r="635" spans="3:13">
      <x:c r="C635" s="6" t="e">
        <x:f>LEFT(H635,SEARCH("]",H635))</x:f>
        <x:v>#VALUE!</x:v>
      </x:c>
      <x:c r="D635" s="5" t="e">
        <x:f>MID(H635,SEARCH("]",H635)+1,200)</x:f>
        <x:v>#VALUE!</x:v>
      </x:c>
      <x:c r="H635" s="3"/>
      <x:c r="L635" s="3"/>
      <x:c r="M635" s="3"/>
    </x:row>
    <x:row r="636" spans="3:13">
      <x:c r="C636" s="6" t="e">
        <x:f>LEFT(H636,SEARCH("]",H636))</x:f>
        <x:v>#VALUE!</x:v>
      </x:c>
      <x:c r="D636" s="5" t="e">
        <x:f>MID(H636,SEARCH("]",H636)+1,200)</x:f>
        <x:v>#VALUE!</x:v>
      </x:c>
      <x:c r="H636" s="3"/>
      <x:c r="L636" s="3"/>
      <x:c r="M636" s="3"/>
    </x:row>
    <x:row r="637" spans="3:13">
      <x:c r="C637" s="6" t="e">
        <x:f>LEFT(H637,SEARCH("]",H637))</x:f>
        <x:v>#VALUE!</x:v>
      </x:c>
      <x:c r="D637" s="5" t="e">
        <x:f>MID(H637,SEARCH("]",H637)+1,200)</x:f>
        <x:v>#VALUE!</x:v>
      </x:c>
      <x:c r="H637" s="3"/>
      <x:c r="L637" s="3"/>
      <x:c r="M637" s="3"/>
    </x:row>
    <x:row r="638" spans="3:13">
      <x:c r="C638" s="6" t="e">
        <x:f>LEFT(H638,SEARCH("]",H638))</x:f>
        <x:v>#VALUE!</x:v>
      </x:c>
      <x:c r="D638" s="5" t="e">
        <x:f>MID(H638,SEARCH("]",H638)+1,200)</x:f>
        <x:v>#VALUE!</x:v>
      </x:c>
      <x:c r="H638" s="3"/>
      <x:c r="L638" s="3"/>
      <x:c r="M638" s="3"/>
    </x:row>
    <x:row r="639" spans="3:13">
      <x:c r="C639" s="6" t="e">
        <x:f>LEFT(H639,SEARCH("]",H639))</x:f>
        <x:v>#VALUE!</x:v>
      </x:c>
      <x:c r="D639" s="5" t="e">
        <x:f>MID(H639,SEARCH("]",H639)+1,200)</x:f>
        <x:v>#VALUE!</x:v>
      </x:c>
      <x:c r="H639" s="3"/>
      <x:c r="L639" s="3"/>
      <x:c r="M639" s="3"/>
    </x:row>
    <x:row r="640" spans="3:13">
      <x:c r="C640" s="6" t="e">
        <x:f>LEFT(H640,SEARCH("]",H640))</x:f>
        <x:v>#VALUE!</x:v>
      </x:c>
      <x:c r="D640" s="5" t="e">
        <x:f>MID(H640,SEARCH("]",H640)+1,200)</x:f>
        <x:v>#VALUE!</x:v>
      </x:c>
      <x:c r="H640" s="3"/>
      <x:c r="L640" s="3"/>
      <x:c r="M640" s="3"/>
    </x:row>
    <x:row r="641" spans="3:13">
      <x:c r="C641" s="6" t="e">
        <x:f>LEFT(H641,SEARCH("]",H641))</x:f>
        <x:v>#VALUE!</x:v>
      </x:c>
      <x:c r="D641" s="5" t="e">
        <x:f>MID(H641,SEARCH("]",H641)+1,200)</x:f>
        <x:v>#VALUE!</x:v>
      </x:c>
      <x:c r="H641" s="3"/>
      <x:c r="L641" s="3"/>
      <x:c r="M641" s="3"/>
    </x:row>
    <x:row r="642" spans="3:13">
      <x:c r="C642" s="6" t="e">
        <x:f>LEFT(H642,SEARCH("]",H642))</x:f>
        <x:v>#VALUE!</x:v>
      </x:c>
      <x:c r="D642" s="5" t="e">
        <x:f>MID(H642,SEARCH("]",H642)+1,200)</x:f>
        <x:v>#VALUE!</x:v>
      </x:c>
      <x:c r="H642" s="3"/>
      <x:c r="L642" s="3"/>
      <x:c r="M642" s="3"/>
    </x:row>
    <x:row r="643" spans="3:13">
      <x:c r="C643" s="6" t="e">
        <x:f>LEFT(H643,SEARCH("]",H643))</x:f>
        <x:v>#VALUE!</x:v>
      </x:c>
      <x:c r="D643" s="5" t="e">
        <x:f>MID(H643,SEARCH("]",H643)+1,200)</x:f>
        <x:v>#VALUE!</x:v>
      </x:c>
      <x:c r="H643" s="3"/>
      <x:c r="L643" s="3"/>
      <x:c r="M643" s="3"/>
    </x:row>
    <x:row r="644" spans="3:13">
      <x:c r="C644" s="6" t="e">
        <x:f>LEFT(H644,SEARCH("]",H644))</x:f>
        <x:v>#VALUE!</x:v>
      </x:c>
      <x:c r="D644" s="5" t="e">
        <x:f>MID(H644,SEARCH("]",H644)+1,200)</x:f>
        <x:v>#VALUE!</x:v>
      </x:c>
      <x:c r="H644" s="3"/>
      <x:c r="L644" s="3"/>
      <x:c r="M644" s="3"/>
    </x:row>
    <x:row r="645" spans="3:13">
      <x:c r="C645" s="6" t="e">
        <x:f>LEFT(H645,SEARCH("]",H645))</x:f>
        <x:v>#VALUE!</x:v>
      </x:c>
      <x:c r="D645" s="5" t="e">
        <x:f>MID(H645,SEARCH("]",H645)+1,200)</x:f>
        <x:v>#VALUE!</x:v>
      </x:c>
      <x:c r="H645" s="3"/>
      <x:c r="L645" s="3"/>
      <x:c r="M645" s="3"/>
    </x:row>
    <x:row r="646" spans="3:13">
      <x:c r="C646" s="6" t="e">
        <x:f>LEFT(H646,SEARCH("]",H646))</x:f>
        <x:v>#VALUE!</x:v>
      </x:c>
      <x:c r="D646" s="5" t="e">
        <x:f>MID(H646,SEARCH("]",H646)+1,200)</x:f>
        <x:v>#VALUE!</x:v>
      </x:c>
      <x:c r="H646" s="3"/>
      <x:c r="L646" s="3"/>
      <x:c r="M646" s="3"/>
    </x:row>
    <x:row r="647" spans="3:13">
      <x:c r="C647" s="6" t="e">
        <x:f>LEFT(H647,SEARCH("]",H647))</x:f>
        <x:v>#VALUE!</x:v>
      </x:c>
      <x:c r="D647" s="5" t="e">
        <x:f>MID(H647,SEARCH("]",H647)+1,200)</x:f>
        <x:v>#VALUE!</x:v>
      </x:c>
      <x:c r="H647" s="3"/>
      <x:c r="L647" s="3"/>
      <x:c r="M647" s="3"/>
    </x:row>
    <x:row r="648" spans="3:13">
      <x:c r="C648" s="6" t="e">
        <x:f>LEFT(H648,SEARCH("]",H648))</x:f>
        <x:v>#VALUE!</x:v>
      </x:c>
      <x:c r="D648" s="5" t="e">
        <x:f>MID(H648,SEARCH("]",H648)+1,200)</x:f>
        <x:v>#VALUE!</x:v>
      </x:c>
      <x:c r="H648" s="3"/>
      <x:c r="L648" s="3"/>
      <x:c r="M648" s="3"/>
    </x:row>
    <x:row r="649" spans="3:13">
      <x:c r="C649" s="6" t="e">
        <x:f>LEFT(H649,SEARCH("]",H649))</x:f>
        <x:v>#VALUE!</x:v>
      </x:c>
      <x:c r="D649" s="5" t="e">
        <x:f>MID(H649,SEARCH("]",H649)+1,200)</x:f>
        <x:v>#VALUE!</x:v>
      </x:c>
      <x:c r="H649" s="3"/>
      <x:c r="L649" s="3"/>
      <x:c r="M649" s="3"/>
    </x:row>
    <x:row r="650" spans="3:13">
      <x:c r="C650" s="6" t="e">
        <x:f>LEFT(H650,SEARCH("]",H650))</x:f>
        <x:v>#VALUE!</x:v>
      </x:c>
      <x:c r="D650" s="5" t="e">
        <x:f>MID(H650,SEARCH("]",H650)+1,200)</x:f>
        <x:v>#VALUE!</x:v>
      </x:c>
      <x:c r="H650" s="3"/>
      <x:c r="L650" s="3"/>
      <x:c r="M650" s="3"/>
    </x:row>
    <x:row r="651" spans="3:13">
      <x:c r="C651" s="6" t="e">
        <x:f>LEFT(H651,SEARCH("]",H651))</x:f>
        <x:v>#VALUE!</x:v>
      </x:c>
      <x:c r="D651" s="5" t="e">
        <x:f>MID(H651,SEARCH("]",H651)+1,200)</x:f>
        <x:v>#VALUE!</x:v>
      </x:c>
      <x:c r="H651" s="3"/>
      <x:c r="L651" s="3"/>
      <x:c r="M651" s="3"/>
    </x:row>
    <x:row r="652" spans="3:13">
      <x:c r="C652" s="6" t="e">
        <x:f>LEFT(H652,SEARCH("]",H652))</x:f>
        <x:v>#VALUE!</x:v>
      </x:c>
      <x:c r="D652" s="5" t="e">
        <x:f>MID(H652,SEARCH("]",H652)+1,200)</x:f>
        <x:v>#VALUE!</x:v>
      </x:c>
      <x:c r="H652" s="3"/>
      <x:c r="L652" s="3"/>
      <x:c r="M652" s="3"/>
    </x:row>
    <x:row r="653" spans="3:13">
      <x:c r="C653" s="6" t="e">
        <x:f>LEFT(H653,SEARCH("]",H653))</x:f>
        <x:v>#VALUE!</x:v>
      </x:c>
      <x:c r="D653" s="5" t="e">
        <x:f>MID(H653,SEARCH("]",H653)+1,200)</x:f>
        <x:v>#VALUE!</x:v>
      </x:c>
      <x:c r="H653" s="3"/>
      <x:c r="L653" s="3"/>
      <x:c r="M653" s="3"/>
    </x:row>
    <x:row r="654" spans="3:13">
      <x:c r="C654" s="6" t="e">
        <x:f>LEFT(H654,SEARCH("]",H654))</x:f>
        <x:v>#VALUE!</x:v>
      </x:c>
      <x:c r="D654" s="5" t="e">
        <x:f>MID(H654,SEARCH("]",H654)+1,200)</x:f>
        <x:v>#VALUE!</x:v>
      </x:c>
      <x:c r="H654" s="3"/>
      <x:c r="L654" s="3"/>
      <x:c r="M654" s="3"/>
    </x:row>
    <x:row r="655" spans="3:13">
      <x:c r="C655" s="6" t="e">
        <x:f>LEFT(H655,SEARCH("]",H655))</x:f>
        <x:v>#VALUE!</x:v>
      </x:c>
      <x:c r="D655" s="5" t="e">
        <x:f>MID(H655,SEARCH("]",H655)+1,200)</x:f>
        <x:v>#VALUE!</x:v>
      </x:c>
      <x:c r="H655" s="3"/>
      <x:c r="L655" s="3"/>
      <x:c r="M655" s="3"/>
    </x:row>
    <x:row r="656" spans="3:13">
      <x:c r="C656" s="6" t="e">
        <x:f>LEFT(H656,SEARCH("]",H656))</x:f>
        <x:v>#VALUE!</x:v>
      </x:c>
      <x:c r="D656" s="5" t="e">
        <x:f>MID(H656,SEARCH("]",H656)+1,200)</x:f>
        <x:v>#VALUE!</x:v>
      </x:c>
      <x:c r="H656" s="3"/>
      <x:c r="L656" s="3"/>
      <x:c r="M656" s="3"/>
    </x:row>
    <x:row r="657" spans="3:13">
      <x:c r="C657" s="6" t="e">
        <x:f>LEFT(H657,SEARCH("]",H657))</x:f>
        <x:v>#VALUE!</x:v>
      </x:c>
      <x:c r="D657" s="5" t="e">
        <x:f>MID(H657,SEARCH("]",H657)+1,200)</x:f>
        <x:v>#VALUE!</x:v>
      </x:c>
      <x:c r="H657" s="3"/>
      <x:c r="L657" s="3"/>
      <x:c r="M657" s="3"/>
    </x:row>
    <x:row r="658" spans="3:13">
      <x:c r="C658" s="6" t="e">
        <x:f>LEFT(H658,SEARCH("]",H658))</x:f>
        <x:v>#VALUE!</x:v>
      </x:c>
      <x:c r="D658" s="5" t="e">
        <x:f>MID(H658,SEARCH("]",H658)+1,200)</x:f>
        <x:v>#VALUE!</x:v>
      </x:c>
      <x:c r="H658" s="3"/>
      <x:c r="L658" s="3"/>
      <x:c r="M658" s="3"/>
    </x:row>
    <x:row r="659" spans="3:13">
      <x:c r="C659" s="6" t="e">
        <x:f>LEFT(H659,SEARCH("]",H659))</x:f>
        <x:v>#VALUE!</x:v>
      </x:c>
      <x:c r="D659" s="5" t="e">
        <x:f>MID(H659,SEARCH("]",H659)+1,200)</x:f>
        <x:v>#VALUE!</x:v>
      </x:c>
      <x:c r="H659" s="3"/>
      <x:c r="L659" s="3"/>
      <x:c r="M659" s="3"/>
    </x:row>
    <x:row r="660" spans="3:13">
      <x:c r="C660" s="6" t="e">
        <x:f>LEFT(H660,SEARCH("]",H660))</x:f>
        <x:v>#VALUE!</x:v>
      </x:c>
      <x:c r="D660" s="5" t="e">
        <x:f>MID(H660,SEARCH("]",H660)+1,200)</x:f>
        <x:v>#VALUE!</x:v>
      </x:c>
      <x:c r="H660" s="3"/>
      <x:c r="L660" s="3"/>
      <x:c r="M660" s="3"/>
    </x:row>
    <x:row r="661" spans="3:13">
      <x:c r="C661" s="6" t="e">
        <x:f>LEFT(H661,SEARCH("]",H661))</x:f>
        <x:v>#VALUE!</x:v>
      </x:c>
      <x:c r="D661" s="5" t="e">
        <x:f>MID(H661,SEARCH("]",H661)+1,200)</x:f>
        <x:v>#VALUE!</x:v>
      </x:c>
      <x:c r="H661" s="3"/>
      <x:c r="L661" s="3"/>
      <x:c r="M661" s="3"/>
    </x:row>
    <x:row r="662" spans="3:13">
      <x:c r="C662" s="6" t="e">
        <x:f>LEFT(H662,SEARCH("]",H662))</x:f>
        <x:v>#VALUE!</x:v>
      </x:c>
      <x:c r="D662" s="5" t="e">
        <x:f>MID(H662,SEARCH("]",H662)+1,200)</x:f>
        <x:v>#VALUE!</x:v>
      </x:c>
      <x:c r="H662" s="3"/>
      <x:c r="L662" s="3"/>
      <x:c r="M662" s="3"/>
    </x:row>
    <x:row r="663" spans="3:13">
      <x:c r="C663" s="6" t="e">
        <x:f>LEFT(H663,SEARCH("]",H663))</x:f>
        <x:v>#VALUE!</x:v>
      </x:c>
      <x:c r="D663" s="5" t="e">
        <x:f>MID(H663,SEARCH("]",H663)+1,200)</x:f>
        <x:v>#VALUE!</x:v>
      </x:c>
      <x:c r="H663" s="3"/>
      <x:c r="L663" s="3"/>
      <x:c r="M663" s="3"/>
    </x:row>
    <x:row r="664" spans="3:13">
      <x:c r="C664" s="6" t="e">
        <x:f>LEFT(H664,SEARCH("]",H664))</x:f>
        <x:v>#VALUE!</x:v>
      </x:c>
      <x:c r="D664" s="5" t="e">
        <x:f>MID(H664,SEARCH("]",H664)+1,200)</x:f>
        <x:v>#VALUE!</x:v>
      </x:c>
      <x:c r="H664" s="3"/>
      <x:c r="L664" s="3"/>
      <x:c r="M664" s="3"/>
    </x:row>
    <x:row r="665" spans="3:13">
      <x:c r="C665" s="6" t="e">
        <x:f>LEFT(H665,SEARCH("]",H665))</x:f>
        <x:v>#VALUE!</x:v>
      </x:c>
      <x:c r="D665" s="5" t="e">
        <x:f>MID(H665,SEARCH("]",H665)+1,200)</x:f>
        <x:v>#VALUE!</x:v>
      </x:c>
      <x:c r="H665" s="3"/>
      <x:c r="L665" s="3"/>
      <x:c r="M665" s="3"/>
    </x:row>
    <x:row r="666" spans="3:13">
      <x:c r="C666" s="6" t="e">
        <x:f>LEFT(H666,SEARCH("]",H666))</x:f>
        <x:v>#VALUE!</x:v>
      </x:c>
      <x:c r="D666" s="5" t="e">
        <x:f>MID(H666,SEARCH("]",H666)+1,200)</x:f>
        <x:v>#VALUE!</x:v>
      </x:c>
      <x:c r="H666" s="3"/>
      <x:c r="L666" s="3"/>
      <x:c r="M666" s="3"/>
    </x:row>
    <x:row r="667" spans="3:13">
      <x:c r="C667" s="6" t="e">
        <x:f>LEFT(H667,SEARCH("]",H667))</x:f>
        <x:v>#VALUE!</x:v>
      </x:c>
      <x:c r="D667" s="5" t="e">
        <x:f>MID(H667,SEARCH("]",H667)+1,200)</x:f>
        <x:v>#VALUE!</x:v>
      </x:c>
      <x:c r="H667" s="3"/>
      <x:c r="L667" s="3"/>
      <x:c r="M667" s="3"/>
    </x:row>
    <x:row r="668" spans="3:13">
      <x:c r="C668" s="6" t="e">
        <x:f>LEFT(H668,SEARCH("]",H668))</x:f>
        <x:v>#VALUE!</x:v>
      </x:c>
      <x:c r="D668" s="5" t="e">
        <x:f>MID(H668,SEARCH("]",H668)+1,200)</x:f>
        <x:v>#VALUE!</x:v>
      </x:c>
      <x:c r="H668" s="3"/>
      <x:c r="L668" s="3"/>
      <x:c r="M668" s="3"/>
    </x:row>
    <x:row r="669" spans="3:13">
      <x:c r="C669" s="6" t="e">
        <x:f>LEFT(H669,SEARCH("]",H669))</x:f>
        <x:v>#VALUE!</x:v>
      </x:c>
      <x:c r="D669" s="5" t="e">
        <x:f>MID(H669,SEARCH("]",H669)+1,200)</x:f>
        <x:v>#VALUE!</x:v>
      </x:c>
      <x:c r="H669" s="3"/>
      <x:c r="L669" s="3"/>
      <x:c r="M669" s="3"/>
    </x:row>
    <x:row r="670" spans="3:13">
      <x:c r="C670" s="6" t="e">
        <x:f>LEFT(H670,SEARCH("]",H670))</x:f>
        <x:v>#VALUE!</x:v>
      </x:c>
      <x:c r="D670" s="5" t="e">
        <x:f>MID(H670,SEARCH("]",H670)+1,200)</x:f>
        <x:v>#VALUE!</x:v>
      </x:c>
      <x:c r="H670" s="3"/>
      <x:c r="L670" s="3"/>
      <x:c r="M670" s="3"/>
    </x:row>
    <x:row r="671" spans="3:13">
      <x:c r="C671" s="6" t="e">
        <x:f>LEFT(H671,SEARCH("]",H671))</x:f>
        <x:v>#VALUE!</x:v>
      </x:c>
      <x:c r="D671" s="5" t="e">
        <x:f>MID(H671,SEARCH("]",H671)+1,200)</x:f>
        <x:v>#VALUE!</x:v>
      </x:c>
      <x:c r="H671" s="3"/>
      <x:c r="L671" s="3"/>
      <x:c r="M671" s="3"/>
    </x:row>
    <x:row r="672" spans="3:13">
      <x:c r="C672" s="6" t="e">
        <x:f>LEFT(H672,SEARCH("]",H672))</x:f>
        <x:v>#VALUE!</x:v>
      </x:c>
      <x:c r="D672" s="5" t="e">
        <x:f>MID(H672,SEARCH("]",H672)+1,200)</x:f>
        <x:v>#VALUE!</x:v>
      </x:c>
      <x:c r="H672" s="3"/>
      <x:c r="L672" s="3"/>
      <x:c r="M672" s="3"/>
    </x:row>
    <x:row r="673" spans="3:13">
      <x:c r="C673" s="6" t="e">
        <x:f>LEFT(H673,SEARCH("]",H673))</x:f>
        <x:v>#VALUE!</x:v>
      </x:c>
      <x:c r="D673" s="5" t="e">
        <x:f>MID(H673,SEARCH("]",H673)+1,200)</x:f>
        <x:v>#VALUE!</x:v>
      </x:c>
      <x:c r="H673" s="3"/>
      <x:c r="L673" s="3"/>
      <x:c r="M673" s="3"/>
    </x:row>
    <x:row r="674" spans="3:13">
      <x:c r="C674" s="6" t="e">
        <x:f>LEFT(H674,SEARCH("]",H674))</x:f>
        <x:v>#VALUE!</x:v>
      </x:c>
      <x:c r="D674" s="5" t="e">
        <x:f>MID(H674,SEARCH("]",H674)+1,200)</x:f>
        <x:v>#VALUE!</x:v>
      </x:c>
      <x:c r="H674" s="3"/>
      <x:c r="L674" s="3"/>
      <x:c r="M674" s="3"/>
    </x:row>
    <x:row r="675" spans="3:13">
      <x:c r="C675" s="6" t="e">
        <x:f>LEFT(H675,SEARCH("]",H675))</x:f>
        <x:v>#VALUE!</x:v>
      </x:c>
      <x:c r="D675" s="5" t="e">
        <x:f>MID(H675,SEARCH("]",H675)+1,200)</x:f>
        <x:v>#VALUE!</x:v>
      </x:c>
      <x:c r="H675" s="3"/>
      <x:c r="L675" s="3"/>
      <x:c r="M675" s="3"/>
    </x:row>
    <x:row r="676" spans="3:13">
      <x:c r="C676" s="6" t="e">
        <x:f>LEFT(H676,SEARCH("]",H676))</x:f>
        <x:v>#VALUE!</x:v>
      </x:c>
      <x:c r="D676" s="5" t="e">
        <x:f>MID(H676,SEARCH("]",H676)+1,200)</x:f>
        <x:v>#VALUE!</x:v>
      </x:c>
      <x:c r="H676" s="3"/>
      <x:c r="L676" s="3"/>
      <x:c r="M676" s="3"/>
    </x:row>
    <x:row r="677" spans="3:13">
      <x:c r="C677" s="6" t="e">
        <x:f>LEFT(H677,SEARCH("]",H677))</x:f>
        <x:v>#VALUE!</x:v>
      </x:c>
      <x:c r="D677" s="5" t="e">
        <x:f>MID(H677,SEARCH("]",H677)+1,200)</x:f>
        <x:v>#VALUE!</x:v>
      </x:c>
      <x:c r="H677" s="3"/>
      <x:c r="L677" s="3"/>
      <x:c r="M677" s="3"/>
    </x:row>
    <x:row r="678" spans="3:13">
      <x:c r="C678" s="6" t="e">
        <x:f>LEFT(H678,SEARCH("]",H678))</x:f>
        <x:v>#VALUE!</x:v>
      </x:c>
      <x:c r="D678" s="5" t="e">
        <x:f>MID(H678,SEARCH("]",H678)+1,200)</x:f>
        <x:v>#VALUE!</x:v>
      </x:c>
      <x:c r="H678" s="3"/>
      <x:c r="L678" s="3"/>
      <x:c r="M678" s="3"/>
    </x:row>
    <x:row r="679" spans="3:13">
      <x:c r="C679" s="6" t="e">
        <x:f>LEFT(H679,SEARCH("]",H679))</x:f>
        <x:v>#VALUE!</x:v>
      </x:c>
      <x:c r="D679" s="5" t="e">
        <x:f>MID(H679,SEARCH("]",H679)+1,200)</x:f>
        <x:v>#VALUE!</x:v>
      </x:c>
      <x:c r="H679" s="3"/>
      <x:c r="L679" s="3"/>
      <x:c r="M679" s="3"/>
    </x:row>
    <x:row r="680" spans="3:13">
      <x:c r="C680" s="6" t="e">
        <x:f>LEFT(H680,SEARCH("]",H680))</x:f>
        <x:v>#VALUE!</x:v>
      </x:c>
      <x:c r="D680" s="5" t="e">
        <x:f>MID(H680,SEARCH("]",H680)+1,200)</x:f>
        <x:v>#VALUE!</x:v>
      </x:c>
      <x:c r="H680" s="3"/>
      <x:c r="L680" s="3"/>
      <x:c r="M680" s="3"/>
    </x:row>
    <x:row r="681" spans="3:13">
      <x:c r="C681" s="6" t="e">
        <x:f>LEFT(H681,SEARCH("]",H681))</x:f>
        <x:v>#VALUE!</x:v>
      </x:c>
      <x:c r="D681" s="5" t="e">
        <x:f>MID(H681,SEARCH("]",H681)+1,200)</x:f>
        <x:v>#VALUE!</x:v>
      </x:c>
      <x:c r="H681" s="3"/>
      <x:c r="L681" s="3"/>
      <x:c r="M681" s="3"/>
    </x:row>
    <x:row r="682" spans="3:13">
      <x:c r="C682" s="6" t="e">
        <x:f>LEFT(H682,SEARCH("]",H682))</x:f>
        <x:v>#VALUE!</x:v>
      </x:c>
      <x:c r="D682" s="5" t="e">
        <x:f>MID(H682,SEARCH("]",H682)+1,200)</x:f>
        <x:v>#VALUE!</x:v>
      </x:c>
      <x:c r="H682" s="3"/>
      <x:c r="L682" s="3"/>
      <x:c r="M682" s="3"/>
    </x:row>
    <x:row r="683" spans="3:13">
      <x:c r="C683" s="6" t="e">
        <x:f>LEFT(H683,SEARCH("]",H683))</x:f>
        <x:v>#VALUE!</x:v>
      </x:c>
      <x:c r="D683" s="5" t="e">
        <x:f>MID(H683,SEARCH("]",H683)+1,200)</x:f>
        <x:v>#VALUE!</x:v>
      </x:c>
      <x:c r="H683" s="3"/>
      <x:c r="L683" s="3"/>
      <x:c r="M683" s="3"/>
    </x:row>
    <x:row r="684" spans="3:13">
      <x:c r="C684" s="6" t="e">
        <x:f>LEFT(H684,SEARCH("]",H684))</x:f>
        <x:v>#VALUE!</x:v>
      </x:c>
      <x:c r="D684" s="5" t="e">
        <x:f>MID(H684,SEARCH("]",H684)+1,200)</x:f>
        <x:v>#VALUE!</x:v>
      </x:c>
      <x:c r="H684" s="3"/>
      <x:c r="L684" s="3"/>
      <x:c r="M684" s="3"/>
    </x:row>
    <x:row r="685" spans="3:13">
      <x:c r="C685" s="6" t="e">
        <x:f>LEFT(H685,SEARCH("]",H685))</x:f>
        <x:v>#VALUE!</x:v>
      </x:c>
      <x:c r="D685" s="5" t="e">
        <x:f>MID(H685,SEARCH("]",H685)+1,200)</x:f>
        <x:v>#VALUE!</x:v>
      </x:c>
      <x:c r="H685" s="3"/>
      <x:c r="L685" s="3"/>
      <x:c r="M685" s="3"/>
    </x:row>
    <x:row r="686" spans="3:13">
      <x:c r="C686" s="6" t="e">
        <x:f>LEFT(H686,SEARCH("]",H686))</x:f>
        <x:v>#VALUE!</x:v>
      </x:c>
      <x:c r="D686" s="5" t="e">
        <x:f>MID(H686,SEARCH("]",H686)+1,200)</x:f>
        <x:v>#VALUE!</x:v>
      </x:c>
      <x:c r="H686" s="3"/>
      <x:c r="L686" s="3"/>
      <x:c r="M686" s="3"/>
    </x:row>
    <x:row r="687" spans="3:8">
      <x:c r="C687" s="6" t="e">
        <x:f>LEFT(H687,SEARCH("]",H687))</x:f>
        <x:v>#VALUE!</x:v>
      </x:c>
      <x:c r="D687" s="5" t="e">
        <x:f>MID(H687,SEARCH("]",H687)+1,200)</x:f>
        <x:v>#VALUE!</x:v>
      </x:c>
      <x:c r="H687" s="3"/>
    </x:row>
    <x:row r="688" spans="3:8">
      <x:c r="C688" s="6" t="e">
        <x:f>LEFT(H688,SEARCH("]",H688))</x:f>
        <x:v>#VALUE!</x:v>
      </x:c>
      <x:c r="D688" s="5" t="e">
        <x:f>MID(H688,SEARCH("]",H688)+1,200)</x:f>
        <x:v>#VALUE!</x:v>
      </x:c>
      <x:c r="H688" s="3"/>
    </x:row>
    <x:row r="689" spans="3:8">
      <x:c r="C689" s="6" t="e">
        <x:f>LEFT(H689,SEARCH("]",H689))</x:f>
        <x:v>#VALUE!</x:v>
      </x:c>
      <x:c r="D689" s="5" t="e">
        <x:f>MID(H689,SEARCH("]",H689)+1,200)</x:f>
        <x:v>#VALUE!</x:v>
      </x:c>
      <x:c r="H689" s="3"/>
    </x:row>
    <x:row r="690" spans="3:8">
      <x:c r="C690" s="6" t="e">
        <x:f>LEFT(H690,SEARCH("]",H690))</x:f>
        <x:v>#VALUE!</x:v>
      </x:c>
      <x:c r="D690" s="5" t="e">
        <x:f>MID(H690,SEARCH("]",H690)+1,200)</x:f>
        <x:v>#VALUE!</x:v>
      </x:c>
      <x:c r="H690" s="3"/>
    </x:row>
    <x:row r="691" spans="3:8">
      <x:c r="C691" s="6" t="e">
        <x:f>LEFT(H691,SEARCH("]",H691))</x:f>
        <x:v>#VALUE!</x:v>
      </x:c>
      <x:c r="D691" s="5" t="e">
        <x:f>MID(H691,SEARCH("]",H691)+1,200)</x:f>
        <x:v>#VALUE!</x:v>
      </x:c>
      <x:c r="H691" s="3"/>
    </x:row>
    <x:row r="692" spans="3:8">
      <x:c r="C692" s="6" t="e">
        <x:f>LEFT(H692,SEARCH("]",H692))</x:f>
        <x:v>#VALUE!</x:v>
      </x:c>
      <x:c r="D692" s="5" t="e">
        <x:f>MID(H692,SEARCH("]",H692)+1,200)</x:f>
        <x:v>#VALUE!</x:v>
      </x:c>
      <x:c r="H692" s="3"/>
    </x:row>
    <x:row r="693" spans="3:8">
      <x:c r="C693" s="6" t="e">
        <x:f>LEFT(H693,SEARCH("]",H693))</x:f>
        <x:v>#VALUE!</x:v>
      </x:c>
      <x:c r="D693" s="5" t="e">
        <x:f>MID(H693,SEARCH("]",H693)+1,200)</x:f>
        <x:v>#VALUE!</x:v>
      </x:c>
      <x:c r="H693" s="3"/>
    </x:row>
    <x:row r="694" spans="3:8">
      <x:c r="C694" s="6" t="e">
        <x:f>LEFT(H694,SEARCH("]",H694))</x:f>
        <x:v>#VALUE!</x:v>
      </x:c>
      <x:c r="D694" s="5" t="e">
        <x:f>MID(H694,SEARCH("]",H694)+1,200)</x:f>
        <x:v>#VALUE!</x:v>
      </x:c>
      <x:c r="H694" s="3"/>
    </x:row>
    <x:row r="695" spans="3:8">
      <x:c r="C695" s="6" t="e">
        <x:f>LEFT(H695,SEARCH("]",H695))</x:f>
        <x:v>#VALUE!</x:v>
      </x:c>
      <x:c r="D695" s="5" t="e">
        <x:f>MID(H695,SEARCH("]",H695)+1,200)</x:f>
        <x:v>#VALUE!</x:v>
      </x:c>
      <x:c r="H695" s="3"/>
    </x:row>
    <x:row r="696" spans="3:8">
      <x:c r="C696" s="6" t="e">
        <x:f>LEFT(H696,SEARCH("]",H696))</x:f>
        <x:v>#VALUE!</x:v>
      </x:c>
      <x:c r="D696" s="5" t="e">
        <x:f>MID(H696,SEARCH("]",H696)+1,200)</x:f>
        <x:v>#VALUE!</x:v>
      </x:c>
      <x:c r="H696" s="3"/>
    </x:row>
    <x:row r="697" spans="3:8">
      <x:c r="C697" s="6" t="e">
        <x:f>LEFT(H697,SEARCH("]",H697))</x:f>
        <x:v>#VALUE!</x:v>
      </x:c>
      <x:c r="D697" s="5" t="e">
        <x:f>MID(H697,SEARCH("]",H697)+1,200)</x:f>
        <x:v>#VALUE!</x:v>
      </x:c>
      <x:c r="H697" s="3"/>
    </x:row>
    <x:row r="698" spans="3:8">
      <x:c r="C698" s="6" t="e">
        <x:f>LEFT(H698,SEARCH("]",H698))</x:f>
        <x:v>#VALUE!</x:v>
      </x:c>
      <x:c r="D698" s="5" t="e">
        <x:f>MID(H698,SEARCH("]",H698)+1,200)</x:f>
        <x:v>#VALUE!</x:v>
      </x:c>
      <x:c r="H698" s="3"/>
    </x:row>
    <x:row r="699" spans="3:8">
      <x:c r="C699" s="6" t="e">
        <x:f>LEFT(H699,SEARCH("]",H699))</x:f>
        <x:v>#VALUE!</x:v>
      </x:c>
      <x:c r="D699" s="5" t="e">
        <x:f>MID(H699,SEARCH("]",H699)+1,200)</x:f>
        <x:v>#VALUE!</x:v>
      </x:c>
      <x:c r="H699" s="3"/>
    </x:row>
    <x:row r="700" spans="3:8">
      <x:c r="C700" s="6" t="e">
        <x:f>LEFT(H700,SEARCH("]",H700))</x:f>
        <x:v>#VALUE!</x:v>
      </x:c>
      <x:c r="D700" s="5" t="e">
        <x:f>MID(H700,SEARCH("]",H700)+1,200)</x:f>
        <x:v>#VALUE!</x:v>
      </x:c>
      <x:c r="H700" s="3"/>
    </x:row>
    <x:row r="701" spans="3:8">
      <x:c r="C701" s="6" t="e">
        <x:f>LEFT(H701,SEARCH("]",H701))</x:f>
        <x:v>#VALUE!</x:v>
      </x:c>
      <x:c r="D701" s="5" t="e">
        <x:f>MID(H701,SEARCH("]",H701)+1,200)</x:f>
        <x:v>#VALUE!</x:v>
      </x:c>
      <x:c r="H701" s="3"/>
    </x:row>
    <x:row r="702" spans="3:8">
      <x:c r="C702" s="6" t="e">
        <x:f>LEFT(H702,SEARCH("]",H702))</x:f>
        <x:v>#VALUE!</x:v>
      </x:c>
      <x:c r="D702" s="5" t="e">
        <x:f>MID(H702,SEARCH("]",H702)+1,200)</x:f>
        <x:v>#VALUE!</x:v>
      </x:c>
      <x:c r="H702" s="3"/>
    </x:row>
  </x:sheetData>
  <x:mergeCells count="56">
    <x:mergeCell ref="H6:T6"/>
    <x:mergeCell ref="H14:T14"/>
    <x:mergeCell ref="H15:T15"/>
    <x:mergeCell ref="H16:T16"/>
    <x:mergeCell ref="H17:T17"/>
    <x:mergeCell ref="H18:T18"/>
    <x:mergeCell ref="H23:T23"/>
    <x:mergeCell ref="H24:T24"/>
    <x:mergeCell ref="H30:T30"/>
    <x:mergeCell ref="H40:T40"/>
    <x:mergeCell ref="H41:T41"/>
    <x:mergeCell ref="H42:T42"/>
    <x:mergeCell ref="H58:T58"/>
    <x:mergeCell ref="H61:T61"/>
    <x:mergeCell ref="H62:T62"/>
    <x:mergeCell ref="H63:T63"/>
    <x:mergeCell ref="H64:T64"/>
    <x:mergeCell ref="H65:T65"/>
    <x:mergeCell ref="H68:T68"/>
    <x:mergeCell ref="H71:T71"/>
    <x:mergeCell ref="H72:T72"/>
    <x:mergeCell ref="H75:T75"/>
    <x:mergeCell ref="H77:T77"/>
    <x:mergeCell ref="H78:T78"/>
    <x:mergeCell ref="H80:T80"/>
    <x:mergeCell ref="H81:T81"/>
    <x:mergeCell ref="H83:T83"/>
    <x:mergeCell ref="H94:T94"/>
    <x:mergeCell ref="H95:T95"/>
    <x:mergeCell ref="H97:T97"/>
    <x:mergeCell ref="H99:T99"/>
    <x:mergeCell ref="H130:T130"/>
    <x:mergeCell ref="H136:T136"/>
    <x:mergeCell ref="H140:T140"/>
    <x:mergeCell ref="H143:T143"/>
    <x:mergeCell ref="H160:T160"/>
    <x:mergeCell ref="H161:T161"/>
    <x:mergeCell ref="H166:T166"/>
    <x:mergeCell ref="H169:T169"/>
    <x:mergeCell ref="H170:T170"/>
    <x:mergeCell ref="H172:T172"/>
    <x:mergeCell ref="H173:T173"/>
    <x:mergeCell ref="H174:T174"/>
    <x:mergeCell ref="H199:T199"/>
    <x:mergeCell ref="H202:T202"/>
    <x:mergeCell ref="H205:T205"/>
    <x:mergeCell ref="H211:T211"/>
    <x:mergeCell ref="H212:T212"/>
    <x:mergeCell ref="H216:T216"/>
    <x:mergeCell ref="H218:T218"/>
    <x:mergeCell ref="H220:T220"/>
    <x:mergeCell ref="H221:T221"/>
    <x:mergeCell ref="H223:T223"/>
    <x:mergeCell ref="H224:T224"/>
    <x:mergeCell ref="H225:T225"/>
    <x:mergeCell ref="H226:T226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71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12</cp:revision>
  <dcterms:created xsi:type="dcterms:W3CDTF">2026-07-23T07:17:19.947</dcterms:created>
  <dcterms:modified xsi:type="dcterms:W3CDTF">2026-07-24T06:35:57.456</dcterms:modified>
  <cp:version>1300.0100.01</cp:version>
</cp:coreProperties>
</file>