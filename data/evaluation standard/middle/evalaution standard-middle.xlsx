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평가계획서 작성 도우미\data\evaluation standard\middle\"/>
    </mc:Choice>
  </mc:AlternateContent>
  <x:bookViews>
    <x:workbookView xWindow="0" yWindow="0" windowWidth="22788" windowHeight="8112" tabRatio="500"/>
  </x:bookViews>
  <x:sheets>
    <x:sheet name="Sheet1" sheetId="1" r:id="rId4"/>
  </x:sheets>
  <x:definedNames>
    <x:definedName name="_xlnm._FilterDatabase" localSheetId="0" hidden="1">Sheet1!$A$1:$C$702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<x:sst xmlns:r="http://schemas.openxmlformats.org/officeDocument/2006/relationships" xmlns:c="http://schemas.openxmlformats.org/drawingml/2006/chart" xmlns:x="http://schemas.openxmlformats.org/spreadsheetml/2006/main" count="2807" uniqueCount="2122">
  <x:si>
    <x:t>[9도01-07]삶에서 직업이 갖는 의미와 가치를 파악하며,사례 탐구를 통해 직업적 양심과 직업윤리의 필요성을 정당화할 수 있다.</x:t>
  </x:si>
  <x:si>
    <x:t>[9보03-02]청소년기 성적 발달과 관계,신체상에 대해 알아보고 사회적 조건을 이해하며 건강하게 관리한다.</x:t>
  </x:si>
  <x:si>
    <x:t>[9국03-04]의견 차이가 있는 사안에 대해 자료를 수집하고 사회⋅문화적 맥락을 고려하며 주장하는 글을 쓴다.</x:t>
  </x:si>
  <x:si>
    <x:t>[9기가02-05]의복 재료의 특성을 이해하고 건강과 환경을 고려한 의복의 세탁과 관리 방안을 탐색하여 실천한다.</x:t>
  </x:si>
  <x:si>
    <x:t>[9국03-09]언어 공동체의 구성원인 필자로서 자신에 대해 성찰하며,윤리적 소통 문화를 형성하는데에 기여한다.</x:t>
  </x:si>
  <x:si>
    <x:t>[9과07-03]지구 자전에 의한 천체의 겉보기 운동과 지구 공전에 의한 별자리 변화를 이해하고,밤하늘 천체에 호기심을 가진다.</x:t>
  </x:si>
  <x:si>
    <x:t>[9과19-03]일의 정의를 알고,자유 낙하하는 물체의 운동에서 중력이 한 일을 위치 에너지와 운동 에너지로 표현할 수 있다.</x:t>
  </x:si>
  <x:si>
    <x:t>[9과05-01]물체에 작용하는 힘을 화살표를 이용하여 나타내고,힘의 평형을 이루는 조건을 설명할 수 있다.</x:t>
  </x:si>
  <x:si>
    <x:t>[9과07-02]태양의 표면과 대기에서 일어나는 현상을 알고,태양의 활동이 지구에 미치는 영향을 추론할 수 있다.</x:t>
  </x:si>
  <x:si>
    <x:t>[9과10-01]빛의 반사와 굴절의 원리를 이해하고,물체를 보는 과정을 빛의 경로를 이용하여 표현할 수 있다.</x:t>
  </x:si>
  <x:si>
    <x:t>[9기가02-06]지속가능성을 고려하여 의복 마련 계획을 세우고,이를 창의적이고 친환경적인 의생활에적용한다.</x:t>
  </x:si>
  <x:si>
    <x:t>[9과14-01]마찰 전기,정전기 유도 현상을 관찰하고,이를 전기력과 원자 모형을 이용하여 설명할 수 있다.</x:t>
  </x:si>
  <x:si>
    <x:t>[9과09-05]대륙이동설을 이해하고,지진과 화산이 발생하는 지역의 분포를 판의 경계와 관련지어설명할 수 있다.</x:t>
  </x:si>
  <x:si>
    <x:t>[9과07-01]태양계를 구성하는 천체의 특징을 알고,행성을 목성형 행성과 지구형 행성으로 구분할 수 있다.</x:t>
  </x:si>
  <x:si>
    <x:t>[9생독02-02]간단하고 쉬운 의사소통 표현을 사용하여 상황에 맞게 말한다.</x:t>
  </x:si>
  <x:si>
    <x:t>[9도03-06]인류의 고통에 공감하며 지구적 차원의 다양한 도덕 문제들을 탐구하고,해결 방안을 모색하여 실천하는 자세를 갖는다.</x:t>
  </x:si>
  <x:si>
    <x:t xml:space="preserve"> 일차함수의 그래프의 성질을 이해하고, 이를 활용하여 문제를 해결할 수 있다.</x:t>
  </x:si>
  <x:si>
    <x:t xml:space="preserve"> 이차함수의 개념을 이해한다.</x:t>
  </x:si>
  <x:si>
    <x:t>프로그램 작성에서 함수를 활용하고,프로그램 수행 결과를 디버거로 분석하여 오류를수정한다.</x:t>
  </x:si>
  <x:si>
    <x:t>[9환03-01]지구 생태계의 구성 요소와 관련된 환경 문제를 조사하여 그 문제의 특성을 파악하고,환경 문제의 발생 원인과 영향을 사회,문화,경제 등 여러 측면을 고려하여 분석하고 추론한다.</x:t>
  </x:si>
  <x:si>
    <x:t>[9환03-04]지역 환경 문제가 지구 환경 문제와 어떻게 연결되어 있으며,지구 생태계의 구성 요소 중어떤 것과 관련이 있는지 파악하고,지속가능성과 형평성을 고려하여 해결 방안을 제시 한다.</x:t>
  </x:si>
  <x:si>
    <x:t>[9환05-01]지속가능성의 의미를 이해하여 주거,교통,먹거리,소비 등 일상생활에서 지속가능발전의사례를 찾아보고,창의적⋅개방적 태도로 지속가능한 미래 모습을 구상해 보며 자신의 견해를제시한다.</x:t>
  </x:si>
  <x:si>
    <x:t>[9사(지리)06-01]다양한 지리 정보와 매체를 활용하여 오세아니아의 국가와 주요 도시의 위치,자연환경의 특성을 파악하고,자원 수출을 중심으로 세계 다른 지역과의 상호연계성을 탐색한다.</x:t>
  </x:si>
  <x:si>
    <x:t>매체 소통에서의 권리와 책임을 이해하고,수용자의 반응을 고려하며 매체 자료의 제작 과정을 성찰한다.</x:t>
  </x:si>
  <x:si>
    <x:t>사람의 유전 형질과 유전 연구 방법을 알고,가계도를 분석하여 사람의 유전 현상을 설명할 수 있다.</x:t>
  </x:si>
  <x:si>
    <x:t>인공지능 시스템으로 해결 가능한 문제를 발견하고,문제 해결에 적합한 인공지능 시스템을 적용한다.</x:t>
  </x:si>
  <x:si>
    <x:t>일상생활에서 접하는 다양한 시장의 사례를 조사하고,이를 토대로 시장의 의미와필요성을 설명한다.</x:t>
  </x:si>
  <x:si>
    <x:t>수권에서 해수,담수,빙하의 분포와 활용 사례를 조사하고,자원으로서 물의 가치에 대해토론할 수 있다.</x:t>
  </x:si>
  <x:si>
    <x:t>점,선,면,각을 이해하고,실생활 상황과 연결하여 점,직선,평면의 위치 관계를 설명할 수 있다.</x:t>
  </x:si>
  <x:si>
    <x:t>인공지능 학습에 필요한 데이터의 수집과 활용에서 발생하는 윤리적인 문제의 해결 방안을구상한다.</x:t>
  </x:si>
  <x:si>
    <x:t>국제 사회의 다양한 분쟁에 대해 조사하고,지역,국가,세계의 시민으로서 우리의역할에 대해 토의한다.</x:t>
  </x:si>
  <x:si>
    <x:t>국어</x:t>
  </x:si>
  <x:si>
    <x:t>도덕</x:t>
  </x:si>
  <x:si>
    <x:t>사회</x:t>
  </x:si>
  <x:si>
    <x:t>환경</x:t>
  </x:si>
  <x:si>
    <x:t>교과</x:t>
  </x:si>
  <x:si>
    <x:t>수학</x:t>
  </x:si>
  <x:si>
    <x:t>미술</x:t>
  </x:si>
  <x:si>
    <x:t>체육</x:t>
  </x:si>
  <x:si>
    <x:t>음악</x:t>
  </x:si>
  <x:si>
    <x:t>영어</x:t>
  </x:si>
  <x:si>
    <x:t>과학</x:t>
  </x:si>
  <x:si>
    <x:t>한문</x:t>
  </x:si>
  <x:si>
    <x:t>보건</x:t>
  </x:si>
  <x:si>
    <x:t>역사</x:t>
  </x:si>
  <x:si>
    <x:t>정보</x:t>
  </x:si>
  <x:si>
    <x:t>경제생활에서 합리적 선택의 필요성에 대해 검토하고,비용과 편익을 고려한 합리적선택 방안을 탐색한다.</x:t>
  </x:si>
  <x:si>
    <x:t>재해⋅재난 사례와 관련된 자료를 조사하고,그 발생 원인과 피해에 대해 과학적으로 분석할 수 있다.</x:t>
  </x:si>
  <x:si>
    <x:t>구체적인 모형이나 공학 도구를 이용하여 다면체와 회전체의 성질을 탐구하고,이를 설명할 수 있다.</x:t>
  </x:si>
  <x:si>
    <x:t>스포츠 환경에 대한 친화적 태도와 지속가능한 스포츠 환경을 만들기 위한 공동체 의식을발휘한다.</x:t>
  </x:si>
  <x:si>
    <x:t>의복 재료의 특성을 이해하고 건강과 환경을 고려한 의복의 세탁과 관리 방안을 탐색하여 실천한다.</x:t>
  </x:si>
  <x:si>
    <x:t>지구 역사와 함께 기후가 어떻게 변화해 왔고 전망되는지 이해하고 현재의 기후위기 상황을 인식한다.</x:t>
  </x:si>
  <x:si>
    <x:t>사회적 지위와 역할의 의미를 설명하고,일상생활에서 나타나는 역할 갈등 사례와대응 방안을 탐색한다.</x:t>
  </x:si>
  <x:si>
    <x:t>진로 목표 성취를 위해 학습의 필요성을 이해하고,학습 계획을 자기 주도적으로 수립하여실천한다.</x:t>
  </x:si>
  <x:si>
    <x:t>듣기⋅말하기 과정을 점검하고 듣기⋅말하기의 어려움을 효과적으로 조정한다.</x:t>
  </x:si>
  <x:si>
    <x:t>[9미02-01]주제를 탐구하고 의도를 반영하여 적합한표현을 계획할 수 있다.</x:t>
  </x:si>
  <x:si>
    <x:t>도형의 닮음의 뜻과 닮은 도형의 성질을 이해하고,닮음비를 구할 수 있다.</x:t>
  </x:si>
  <x:si>
    <x:t>[9미01-03]다양한 문화를 존중하며 이미지를 활용하여 소통할 수 있다.</x:t>
  </x:si>
  <x:si>
    <x:t>[9기가01-05]청소년기의 건강한 발달을 위협하는 스트레스,분노,우울 등의 여러 가지 행동 및 심리문제의 원인을 분석하고,적응 유연성을 기를 수 있는 다양한 예방 및 해결방안을 탐색하여 적용한다.</x:t>
  </x:si>
  <x:si>
    <x:t>[9보03-06]청소년의 성 건강과 관련하여 사회적 쟁점이 있는 이슈들에 대해 다양한 입장의 근거와 맥락,고정 관념,차별,불평등한 상황을 파악하여 균형 있고 평등한 성문화를 조성하려는 자세를 갖는다.</x:t>
  </x:si>
  <x:si>
    <x:t>[9환04-02]생물다양성 감소 등 기후변화의 영향과 피해,갈등과 불평등에 관한 사례를 탐구하고,사람과자연이 겪는 고통에 공감하며 지구 공동체의 관점에서 기후변화 피해를 줄이는 방법을 토의한다.</x:t>
  </x:si>
  <x:si>
    <x:t>한글 맞춤법의 기본 원리와 내용을 이해하고 국어생활에 적용한다.</x:t>
  </x:si>
  <x:si>
    <x:t>[9과04-04]물질의 상태 변화와 열에너지 출입 관계를 이해하고,이를 실생활에 적용하여 과학의 유용성을 인식할 수 있다.</x:t>
  </x:si>
  <x:si>
    <x:t>[9정01-02]피지컬 컴퓨팅의 개념을 이해하고,생활 속에서 적용된 사례 조사를 통해 컴퓨팅 시스템의필요성과 가치를 판단한다.</x:t>
  </x:si>
  <x:si>
    <x:t>[9과03-03]물질에 따라 비열과 열팽창 정도가 다름을 알고,이러한 성질이 일상생활에서 유용하게 활용됨을 인식할 수 있다.</x:t>
  </x:si>
  <x:si>
    <x:t>[9과16-02]간단한 화학 반응을 화학 반응식으로 표현하고,화학 반응식에서 계수의 비를 입자 수의 비로 해석할 수 있다.</x:t>
  </x:si>
  <x:si>
    <x:t>[9정02-01]실생활의 데이터가 디지털 형태로 변환되어 활용되는 긍정적 가치를 탐색하고,다양한데이터를 디지털 형태로 표현한다.</x:t>
  </x:si>
  <x:si>
    <x:t>[9과12-02]식물의 호흡과 광합성의 관계를 이해하고,호흡과 광합성 과정에서 출입하는 에너지와물질의 변화를 분석할 수 있다.</x:t>
  </x:si>
  <x:si>
    <x:t>[9국02-04]복합양식으로 구성된 글이나 자료의 내용 타당성과 신뢰성,표현 방법의 적절성을 평가하며 읽는다.</x:t>
  </x:si>
  <x:si>
    <x:t>[9기가02-12]청소년 소비자의 특성을 이해하고 소비자 의사 결정 과정을 통한 합리적인 소비생활을 실천한다.</x:t>
  </x:si>
  <x:si>
    <x:t>[9과22-01]재해⋅재난 사례와 관련된 자료를 조사하고,그 발생 원인과 피해에 대해 과학적으로 분석할 수 있다.</x:t>
  </x:si>
  <x:si>
    <x:t>[9과21-05]사람의 유전 형질과 유전 연구 방법을 알고,가계도를 분석하여 사람의 유전 현상을 설명할 수 있다.</x:t>
  </x:si>
  <x:si>
    <x:t>우리나라의 정부 형태를 설명하고,대통령과 행정부의 역할을 탐색한다.</x:t>
  </x:si>
  <x:si>
    <x:t>건강 활동을 자율적으로 실천하며 자신과 공동체에 대한 안전을 추구한다.</x:t>
  </x:si>
  <x:si>
    <x:t>동작형 스포츠의 수행 원리를 적용하여 경기 기능을 수련하고 향상한다.</x:t>
  </x:si>
  <x:si>
    <x:t>[9사(지리)05-01]</x:t>
  </x:si>
  <x:si>
    <x:t>[9사(지리)04-01]</x:t>
  </x:si>
  <x:si>
    <x:t>[9사(일사)09-03]</x:t>
  </x:si>
  <x:si>
    <x:t>[9사(일사)10-03]</x:t>
  </x:si>
  <x:si>
    <x:t>[9사(일사)09-01]</x:t>
  </x:si>
  <x:si>
    <x:t>[9사(지리)02-03]</x:t>
  </x:si>
  <x:si>
    <x:t>[9사(지리)05-03]</x:t>
  </x:si>
  <x:si>
    <x:t>[9사(지리)02-01]</x:t>
  </x:si>
  <x:si>
    <x:t>[9사(지리)05-02]</x:t>
  </x:si>
  <x:si>
    <x:t>[9사(일사)07-02]국회에서 법률이 만들어지는 사례를 탐색하고,입법기관으로서 국회의 역할을 조사한다.</x:t>
  </x:si>
  <x:si>
    <x:t>[9역07-01]냉전의 전개와 제3세계 등장의 상관관계를 이해하고,냉전 이후 국제 질서의 변화를 분석한다.</x:t>
  </x:si>
  <x:si>
    <x:t>[9생중05-02]기본적인 중국 문화 내용을 조사하고 한중 문화를 비교하여 문화적 다양성을 이해한다.</x:t>
  </x:si>
  <x:si>
    <x:t>[9생독01-02]낱말이나 간단한 구,간단하고 쉬운 문장,간단하고 쉬운 대화를 듣고 의미를 이해한다.</x:t>
  </x:si>
  <x:si>
    <x:t>[9기가03-13]수송 수단 및 물류 체제와 관련된 문제를 이해하고 해결방안을 탐색하여 실현하고 평가한다.</x:t>
  </x:si>
  <x:si>
    <x:t>[9사(지리)11-01]다양한 지리 정보와 매체를 활용하여 북한의 자연환경과 인문환경의 특징을 탐색한다.</x:t>
  </x:si>
  <x:si>
    <x:t>[9생중01-04]간단하고 쉬운 글이나 대화를 듣고 말의 의도를 추측하거나 그에 상응하는 반응을 보인다.</x:t>
  </x:si>
  <x:si>
    <x:t>[9역04-01]송과 몽골 제국 시기 유라시아⋅인도양 교역권의 성장을 경제⋅문화 자료를 통해 탐구한다.</x:t>
  </x:si>
  <x:si>
    <x:t>[9정03-02]문제 해결을 위한 추상화의 중요성을 이해하고,핵심요소를 중심으로 알고리즘을 표현한다.</x:t>
  </x:si>
  <x:si>
    <x:t>[9체02-03]동작형 스포츠의 경기 방법을 이해하고 경기 전략을 상황에 맞게 활용하며 안전하게 경기한다.</x:t>
  </x:si>
  <x:si>
    <x:t>[9체02-06]기록형 스포츠의 경기 방법을 이해하고 경기 전략을 상황에 맞게 활용하며 안전하게 경기한다.</x:t>
  </x:si>
  <x:si>
    <x:t>[9역03-02]인도,서아시아,지중해에서 진행된 정치적 변동 과정과 각 종교의 특징 및 영향을 파악한다.</x:t>
  </x:si>
  <x:si>
    <x:t>[9생아01-03]일상생활과 관련된 간단하고 쉬운 문장이나 의사소통 표현을 경청하고 적절하게 반응한다.</x:t>
  </x:si>
  <x:si>
    <x:t>[9역13-04]지속가능한 사회를 위한 과제를 역사적 맥락에서 탐구하고,과제 해결에 참여하는 자세를갖는다.</x:t>
  </x:si>
  <x:si>
    <x:t>[9생중04-03]낱말의 용법과 기본 어순에 유의하여 상황이나 목적에 맞게 짧고 쉬운 문장을 작성한다.</x:t>
  </x:si>
  <x:si>
    <x:t>[9생중03-03]간단하고 쉬운 글,대화문,디지털 매체상의 자료 등을 읽고 정보 또는 대의를 파악한다.</x:t>
  </x:si>
  <x:si>
    <x:t>[9수04-02]자료를 줄기와 잎 그림,도수분포표,히스토그램,도수분포다각형으로 나타내고 해석할수 있다.</x:t>
  </x:si>
  <x:si>
    <x:t>[9보05-05]다양성 존중과 사회적 소수자 배려를 포함하여 건강지향적 문화와 환경을 지지⋅옹호한다.</x:t>
  </x:si>
  <x:si>
    <x:t>[9사(일사)04-02]정치활동에 참여하는 다양한 정치 주체의 역할을 탐색하고,정치과정의 의미를 설명한다.</x:t>
  </x:si>
  <x:si>
    <x:t>[9생일05-03]한일 문화의 공통점과 차이점에 대해 상호문화적 관점에서 온오프라인으로 의견을 공유한다.</x:t>
  </x:si>
  <x:si>
    <x:t>[9역06-02]세계 대전 중의 전쟁 범죄를 탐구하고,인권 회복과 평화 실현을 위한 노력을 조사한다.</x:t>
  </x:si>
  <x:si>
    <x:t>[9정02-05]여러 학문 분야의 사례를 중심으로 데이터를 수집⋅분석하여 융합적으로 문제를 해결한다.</x:t>
  </x:si>
  <x:si>
    <x:t>[9진로02-03]진로 정보를 탐색하는 다양한 방법을 알아보고 관심 분야의 진로 정보를 탐색하고 활용한다.</x:t>
  </x:si>
  <x:si>
    <x:t>[9미01-01]감각을 활용하여 대상과 현상을 탐색하고 자신과 환경에 대한 감수성을 확장할 수 있다.</x:t>
  </x:si>
  <x:si>
    <x:t>[9정04-02]인공지능 학습에서 데이터의 중요성을 이해하고,학습에 필요한 데이터를 수집하여 분류한다.</x:t>
  </x:si>
  <x:si>
    <x:t>[9정03-07]프로그램 작성에서 함수를 활용하고,프로그램 수행 결과를 디버거로 분석하여 오류를수정한다.</x:t>
  </x:si>
  <x:si>
    <x:t>[9진로02-04]다양한 경험과 진로 활동을 자신의 진로와 연계하며 주도적인 진로 탐색 태도를 함양한다.</x:t>
  </x:si>
  <x:si>
    <x:t>[9진로03-04]졸업 이후의 진로 계획을 수립하고 자기 관리 및 진로 준비 방법을 알아보고 실천한다.</x:t>
  </x:si>
  <x:si>
    <x:t>[9사(지리)01-01]세계 여러 지역의 특성을 해당 지역의 위치와 자연⋅인문환경을 고려하여 추론한다.</x:t>
  </x:si>
  <x:si>
    <x:t>[9과06-02]기체의 압력과 부피 관계를 실험 결과로부터 알아내고,이를 입자 모형으로 해석할 수있다.</x:t>
  </x:si>
  <x:si>
    <x:t>[9과16-04]화합물을 구성하는 성분 원소의 질량비가 일정함을 실험 자료를 해석하여 설명할 수 있다.</x:t>
  </x:si>
  <x:si>
    <x:t>[9과13-01]소화계의 구조와 기능을 이해하고,소화 과정을 소화 효소의 작용과 관련지어 추론할 수 있다.</x:t>
  </x:si>
  <x:si>
    <x:t>[9기가02-01]생활자원의 종류와 특성 및 순환과정을 이해하고,의식주 자원관리의 중요성을 인식한다.</x:t>
  </x:si>
  <x:si>
    <x:t>[9과17-02]대기 대순환에서 위도별 바람의 특성을 파악하고,대기 대순환의 역할을 설명할 수 있다.</x:t>
  </x:si>
  <x:si>
    <x:t>[9국03-03]주장을 뒷받침할 수 있는 타당한 근거를 들고 적절한 표현을 사용하여 주장하는 글을 쓴다.</x:t>
  </x:si>
  <x:si>
    <x:t>[9기가03-07]재료의 종류와 특성을 이해하며,목적에 맞는 재료를 선택하고,안전한 가공 방법을 실천한다.</x:t>
  </x:si>
  <x:si>
    <x:t>[9국03-07]복합양식 자료를 활용하여 내용을 생성하고 글의 유형을 고려하여 내용을 조직하며 글을 쓴다.</x:t>
  </x:si>
  <x:si>
    <x:t>[9과05-02]중력,탄성력,마찰력,부력을 이해하고,각 힘의 특징을 크기와 방향으로 설명할 수 있다.</x:t>
  </x:si>
  <x:si>
    <x:t>[9과16-05]기체 반응에서 기체 부피 사이의 비가 일정함을 실험 자료를 해석하여 설명할 수 있다.</x:t>
  </x:si>
  <x:si>
    <x:t>[9과09-03]지각을 이루는 암석을 생성 과정에 따라 분류하고,암석의 순환 과정을 설명할 수 있다.</x:t>
  </x:si>
  <x:si>
    <x:t>[9기가03-09]제품의 제작 순서를 이해하고 올바른 도구를 선택하여 제품을 안전하게 제작하고 평가한다.</x:t>
  </x:si>
  <x:si>
    <x:t>[9수04-01]중앙값,최빈값의 뜻을 알고,자료의 특성에 따라 적절한 대푯값을 선택하여 구할 수 있다.</x:t>
  </x:si>
  <x:si>
    <x:t>[9과08-01]물질의 특성의 의미를 알고,실험을 통해 밀도,용해도,녹는점,끓는점 등을 설명할 수 있다.</x:t>
  </x:si>
  <x:si>
    <x:t>[9과03-01]온도와 열평형 과정을 물질을 구성하는 입자들의 배치나 움직임 등으로 설명할 수 있다.</x:t>
  </x:si>
  <x:si>
    <x:t>[9과05-03]알짜힘이0이 아닐 때 물체의 운동 상태가 변함을 알고,그 예를 조사하여 분류할 수 있다.</x:t>
  </x:si>
  <x:si>
    <x:t>[9과04-01]확산 및 증발 현상을 관찰하여 물질을 구성하는 입자가 운동하고 있음을 추론할 수 있다.</x:t>
  </x:si>
  <x:si>
    <x:t>[9과21-01]개체의 생장에 세포분열이 필요한 이유를 세포의 표면적과 부피의 관계로 추론할 수 있다.</x:t>
  </x:si>
  <x:si>
    <x:t>[9과12-01]광합성 과정을 이해하고,환경 요인과 광합성의 관계를 탐구하는 실험을 설계할 수 있다.</x:t>
  </x:si>
  <x:si>
    <x:t>[9과06-03]기체의 온도와 부피 관계를 실험 결과로부터 알아내고,이를 입자 모형으로 해석할 수있다.</x:t>
  </x:si>
  <x:si>
    <x:t>[9과20-03]우리 몸의 기능 조절에 호르몬이 관여함을 알고,관련 자료를 조사하여 발표할 수 있다.</x:t>
  </x:si>
  <x:si>
    <x:t>[9과16-06]화학 반응에서 열에너지가 출입함을 알고,생활 속 사례를 조사하여 발표할 수 있다.</x:t>
  </x:si>
  <x:si>
    <x:t>[9과13-04]배설계의 구조와 기능을 이해하고,노폐물이 배설되는 과정을 모식도로 표현할 수 있다.</x:t>
  </x:si>
  <x:si>
    <x:t>[9보02-01]약물 오⋅남용과 흡연,음주의 유혹과 압력에 대해 안전하게 선택하고 대처⋅옹호한다.</x:t>
  </x:si>
  <x:si>
    <x:t>[9과13-02]순환계의 구조와 기능을 이해하고,혈액의 순환 경로를 종합하여 발표할 수 있다.</x:t>
  </x:si>
  <x:si>
    <x:t>[9과09-01]지구계의 구성 요소를 알고,지권의 층상 구조와 그 특징을 조사⋅발표할 수 있다.</x:t>
  </x:si>
  <x:si>
    <x:t>[9과13-03]호흡계의 구조와 기능을 이해하고,호흡 운동의 원리를 나타내는 모형을 만들 수 있다.</x:t>
  </x:si>
  <x:si>
    <x:t>[9과15-04]우주탐사의 의의와 인류에게 미치는 영향을 조사하여 과학의 유용성을 인식할 수 있다.</x:t>
  </x:si>
  <x:si>
    <x:t>기록형 스포츠의 역사와 특성을 탐색하고 비교한다.</x:t>
  </x:si>
  <x:si>
    <x:t>친숙한 주제에 관해 사실적 정보를 설명한다.</x:t>
  </x:si>
  <x:si>
    <x:t>실수의 대소 관계를 판단하고 설명할 수 있다.</x:t>
  </x:si>
  <x:si>
    <x:t>다양한 관점을 존중하는 태도로 듣거나 읽는다.</x:t>
  </x:si>
  <x:si>
    <x:t>체력 관리의 의미를 이해하고 원리를 분석한다.</x:t>
  </x:si>
  <x:si>
    <x:t>체력 증진의 의미를 이해하고 원리를 분석한다.</x:t>
  </x:si>
  <x:si>
    <x:t>피타고라스 정리를 이해하고 정당화할 수 있다.</x:t>
  </x:si>
  <x:si>
    <x:t>스페인어권의 주요 문화 내용을 조사⋅정리한다.</x:t>
  </x:si>
  <x:si>
    <x:t>평행선 사이의 선분의 길이의 비를 구할 수 있다.</x:t>
  </x:si>
  <x:si>
    <x:t>사회 변화에 따른 직업 세계의 변화를 이해한다.</x:t>
  </x:si>
  <x:si>
    <x:t>자신에게 적합한 신체 건강 활동 방법을 실천한다.</x:t>
  </x:si>
  <x:si>
    <x:t>친숙한 주제에 관해 자신의 의견을 주장한다.</x:t>
  </x:si>
  <x:si>
    <x:t>자신에게 적합한 정신 건강 활동 방법을 실천한다.</x:t>
  </x:si>
  <x:si>
    <x:t>조선 후기 문화에서 나타난 변화를 분석한다.</x:t>
  </x:si>
  <x:si>
    <x:t>삼국과 가야가 남긴 문화의 특징을 분석한다.</x:t>
  </x:si>
  <x:si>
    <x:t>운동 처방의 의미를 이해하고 원리를 분석한다.</x:t>
  </x:si>
  <x:si>
    <x:t>정수와 유리수의 대소 관계를 판단할 수 있다.</x:t>
  </x:si>
  <x:si>
    <x:t>삼각형을 작도하고,그 과정을 설명할 수 있다.</x:t>
  </x:si>
  <x:si>
    <x:t>이등변삼각형의 성질을 이해하고 정당화할 수 있다.</x:t>
  </x:si>
  <x:si>
    <x:t>원주각의 성질을 이해하고 정당화할 수 있다.</x:t>
  </x:si>
  <x:si>
    <x:t>자음과 모음,소리와 철자를 식별하여 바르게 쓴다.</x:t>
  </x:si>
  <x:si>
    <x:t>영역형 스포츠의 역사와 특성을 탐색하고 비교한다.</x:t>
  </x:si>
  <x:si>
    <x:t>사회적으로 적합한 건강 활동 방법을 실천한다.</x:t>
  </x:si>
  <x:si>
    <x:t>동작형 스포츠의 역사와 특성을 탐색하고 비교한다.</x:t>
  </x:si>
  <x:si>
    <x:t>간략한 아랍 문화 내용을 조사하고 정리한다.</x:t>
  </x:si>
  <x:si>
    <x:t>사각형의 성질을 이해하고 정당화할 수 있다.</x:t>
  </x:si>
  <x:si>
    <x:t>필드형 스포츠의 역사와 특성을 탐색하고 비교한다.</x:t>
  </x:si>
  <x:si>
    <x:t>투기형 스포츠의 역사와 특성을 탐색하고 비교한다.</x:t>
  </x:si>
  <x:si>
    <x:t>네트형 스포츠의 역사와 특성을 탐색하고 비교한다.</x:t>
  </x:si>
  <x:si>
    <x:t>독일어권 주요 문화 내용을 조사하여 설명한다.</x:t>
  </x:si>
  <x:si>
    <x:t>친숙한 주제에 관해 듣거나 읽고 내용을 요약한다.</x:t>
  </x:si>
  <x:si>
    <x:t>베트남 문화에 대해 조사⋅정리한 내용을 설명한다.</x:t>
  </x:si>
  <x:si>
    <x:t>스포츠 표현의 역사와 특성을 탐색하고 비교한다.</x:t>
  </x:si>
  <x:si>
    <x:t>낱말이나 간단하고 쉬운 구,문장을 받아쓴다.</x:t>
  </x:si>
  <x:si>
    <x:t>친숙한 주제에 관해 경험이나 계획을 설명한다.</x:t>
  </x:si>
  <x:si>
    <x:t>[9수02-21] 이차함수의 개념을 이해한다.</x:t>
  </x:si>
  <x:si>
    <x:t>발음 규칙에 유의하여 철자,낱말을 식별한다.</x:t>
  </x:si>
  <x:si>
    <x:t>전통 표현의 역사와 특성을 탐색하고 비교한다.</x:t>
  </x:si>
  <x:si>
    <x:t>상대방의 말을 경청하며 적극적으로 호응한다.</x:t>
  </x:si>
  <x:si>
    <x:t>간단하고 쉬운 글을 상황과 목적에 맞게 작성한다.</x:t>
  </x:si>
  <x:si>
    <x:t>현대 표현의 역사와 특성을 탐색하고 비교한다.</x:t>
  </x:si>
  <x:si>
    <x:t>다양한 지리 정보와 매체를 활용하여 오세아니아의 국가와 주요 도시의 위치,자연환경의 특성을 파악하고,자원 수출을 중심으로 세계 다른 지역과의 상호연계성을 탐색한다.</x:t>
  </x:si>
  <x:si>
    <x:t>지구 생태계 구성 요소와 인간 사회의 상호 작용 사례를 지역적,지구적 차원에서 찾아보고,환경의 다양한 수준에 미치는 영향과 시간의 흐름에 따른 변화를 추론한다.</x:t>
  </x:si>
  <x:si>
    <x:t>환경 정의 측면에서 자신이 살고 있는 마을이나 지역에 적용할 수 있는 지속가능한 사회를 위한 개인적⋅사회적 실천 방안을 조사하여 참여해 보고,실천 방안을 평가한다.</x:t>
  </x:si>
  <x:si>
    <x:t>상대도수를 구하고,상대도수의 분포를 표나 그래프로 나타내고 해석할 수 있다.</x:t>
  </x:si>
  <x:si>
    <x:t>[9미03-01]미술의 시대적,지역적,사회적 맥락을 이해하고 설명할 수 있다.</x:t>
  </x:si>
  <x:si>
    <x:t>[9사(일사)02-01]일상생활에서 접하는 문화의 사례를 탐색하고,이를 바탕으로 문화의 의미와 특징을도출한다.</x:t>
  </x:si>
  <x:si>
    <x:t>[9체02-09]투기형 스포츠의 경기 방법을 이해하고 경기 전략을 상황에 맞게 활용하며 안전하게 경기한다.</x:t>
  </x:si>
  <x:si>
    <x:t>[9한01-06]한자 문화권의 문화에 대한 지식을 익혀 이해와 교류 증진에 참여하려는 태도를 기른다.</x:t>
  </x:si>
  <x:si>
    <x:t>[9환03-03]환경 문제의 원인과 영향을 데이터를 기반으로 조사하고,관련 쟁점과 해결 방안을 탐구한다.</x:t>
  </x:si>
  <x:si>
    <x:t>[9과01-01]과학적 탐구 방법을 이해하고,일상생활의 문제에 대한 과학적 해결 방안을 제안할 수있다.</x:t>
  </x:si>
  <x:si>
    <x:t>과학적 탐구 방법을 이해하고,일상생활의 문제에 대한 과학적 해결 방안을 제안할 수있다.</x:t>
  </x:si>
  <x:si>
    <x:t>제품의 제작 순서를 이해하고 올바른 도구를 선택하여 제품을 안전하게 제작하고 평가한다.</x:t>
  </x:si>
  <x:si>
    <x:t>[9환02-02]지구 생태계 구성 요소와 인간 사회의 상호 작용 사례를 지역적,지구적 차원에서 찾아보고,환경의 다양한 수준에 미치는 영향과 시간의 흐름에 따른 변화를 추론한다.</x:t>
  </x:si>
  <x:si>
    <x:t>[9도02-05]다양한 갈등 상황을 평화적으로 해결할 수 있는 방안을 모색하고,폭력의 유형과 원인,결과에 대한 분석을 바탕으로 일상의 폭력 상황에 대한 대처 능력을 기른다.</x:t>
  </x:si>
  <x:si>
    <x:t>지역 환경 문제가 지구 환경 문제와 어떻게 연결되어 있으며,지구 생태계의 구성 요소 중어떤 것과 관련이 있는지 파악하고,지속가능성과 형평성을 고려하여 해결 방안을 제시 한다.</x:t>
  </x:si>
  <x:si>
    <x:t>[9사(지리)05-03]초국적 기업의 글로벌 생산체제에 대한 이해를 바탕으로,초국적 기업의 아메리카 지역 내 입지와 해외 이전의 이유,그에 따른 해당 지역의 변화를 분석한다.</x:t>
  </x:si>
  <x:si>
    <x:t>[9환02-03]환경은 물,대기,토양,생물로 구성된 지구 생태계와 정치⋅경제⋅문화⋅법과 제도 등 인간사회의 상호 작용을 기반으로 다양성과 복잡성을 가진 시스템임을 탐구한다.</x:t>
  </x:si>
  <x:si>
    <x:t>지속가능성의 의미를 이해하여 주거,교통,먹거리,소비 등 일상생활에서 지속가능발전의사례를 찾아보고,창의적⋅개방적 태도로 지속가능한 미래 모습을 구상해 보며 자신의 견해를제시한다.</x:t>
  </x:si>
  <x:si>
    <x:t>[9도03-03]북한에 대한 이해를 바탕으로 분단의 문제점을 분석하고,도덕적 가치에 기초하여 통일의의미를 재구성함으로써 바람직한 남북관계 및 통일의 방향을 제안할 수 있다.</x:t>
  </x:si>
  <x:si>
    <x:t>생물다양성 감소 등 기후변화의 영향과 피해,갈등과 불평등에 관한 사례를 탐구하고,사람과자연이 겪는 고통에 공감하며 지구 공동체의 관점에서 기후변화 피해를 줄이는 방법을 토의한다.</x:t>
  </x:si>
  <x:si>
    <x:t>[9도02-06]청소년기의 바람직한 성윤리를 탐구하여 내면화하고,사회⋅문화적 차원에서 성의 의미를 파악하여 성에 대한 편견의 문제점을 분석하고 이를 바로잡는 의지를 기른다.</x:t>
  </x:si>
  <x:si>
    <x:t>지구 생태계의 구성 요소와 관련된 환경 문제를 조사하여 그 문제의 특성을 파악하고,환경 문제의 발생 원인과 영향을 사회,문화,경제 등 여러 측면을 고려하여 분석하고 추론한다.</x:t>
  </x:si>
  <x:si>
    <x:t>디지털⋅인공지능 시대에 따른 보건의료서비스와 건강정보를 포함한 건강자원의 변화를 알아보고 건강에 유익하게 활용하며 개선방안을 탐색한다.</x:t>
  </x:si>
  <x:si>
    <x:t>상황에 따른 응급처치의 원리와 방법을 이해하고,다양한 위기 및 응급상황에서 적절한 응급처치와 협력적 대응 방안을 탐색하여 적용한다.</x:t>
  </x:si>
  <x:si>
    <x:t>[9과21-02]염색체와 유전자의 관계를 이해하고,체세포분열과 생식세포 형성과정의 특징을 염색체행동을 중심으로 해석할 수 있다.</x:t>
  </x:si>
  <x:si>
    <x:t>우리나라의 계절별,지역별 기후 특성 및 변화 양상을 파악하고,기후변화에 대한 지역별 대응 노력을 조사한다.</x:t>
  </x:si>
  <x:si>
    <x:t>우리나라의 경제 성장 전후 모습을 검토하고,국내 총생산의 증가가 우리 생활에미치는 영향에 대해 토의한다.</x:t>
  </x:si>
  <x:si>
    <x:t>여러 집단에서 나타나는 다양한 문화 사례들을 조사하고,문화를 이해하는 바람직한태도에 대하여 토의한다.</x:t>
  </x:si>
  <x:si>
    <x:t>일생 동안 이루어지는 경제생활을 분석하고,안정적인 금융 생활을 위한 자산 및신용 관리 방안을 계획한다.</x:t>
  </x:si>
  <x:si>
    <x:t>학교나 지역 환경 탐사를 통해 지역과 나의 관계를 이해하고,탐사 결과를 다양한 매체와 방법으로 제시한다.</x:t>
  </x:si>
  <x:si>
    <x:t>급변하는 소비환경의 변화를 이해하고,다양한 소비자 정보를 비판적으로 분석하여자신의 소비생활에 활용한다.</x:t>
  </x:si>
  <x:si>
    <x:t>자신의 진로와 관련 있는 과학 분야를 조사하고,진로 선택을 위하여 필요한 과학 학습을계획할 수 있다.</x:t>
  </x:si>
  <x:si>
    <x:t>우리나라가 직면하고 있는 국제 문제에 대해 조사하고,이러한 문제에 대응하기 위한방안에 대해 토론한다.</x:t>
  </x:si>
  <x:si>
    <x:t>유네스코에 등재된 우리나라의 음악 문화유산을 찾아 듣고,세계 속 국악의 위상과 문화적 가치를 인식한다.</x:t>
  </x:si>
  <x:si>
    <x:t>자신과 주변의 다양한 국어 실천 양상을 비판적으로 분석하여 언어와 자아 및 세계 사이의관계를 인식한다.</x:t>
  </x:si>
  <x:si>
    <x:t>간단한 화학 반응을 화학 반응식으로 표현하고,화학 반응식에서 계수의 비를 입자 수의 비로 해석할 수 있다.</x:t>
  </x:si>
  <x:si>
    <x:t>생활공간으로서 주거환경의 조건을 분석하고,쾌적하고 안전한 주거 관리 방안을 탐색하여 실생활에 적용한다.</x:t>
  </x:si>
  <x:si>
    <x:t>삼국 통일의 과정을 동아시아 국제 정세의 맥락에서 이해하고,통일신라와 발해 성립의 역사적 의의를 추론한다.</x:t>
  </x:si>
  <x:si>
    <x:t>자기 이해를 기반으로 전 생애적 관점에서 진로 설계의 중요성을 인식하고,자기 적성에맞는 진로를 설계한다.</x:t>
  </x:si>
  <x:si>
    <x:t>행위 중독이 건강에 미치는 영향과 위험요인 및 대처방안을 탐색하여 예방하고 관리하려는 태도를 갖는다.</x:t>
  </x:si>
  <x:si>
    <x:t>근로자에게 보장되는 권리를 조사하고,이러한 권리의 침해에 대처하는 국가와시민의 노력에 대해 토의한다.</x:t>
  </x:si>
  <x:si>
    <x:t>물질의 특성을 이용하여 혼합물이 분리되는 원리를 이해하고,이를 이용한 사례를 주변에서 찾을 수 있다.</x:t>
  </x:si>
  <x:si>
    <x:t>건강권 발전을 위한 노력과 건강자원을 탐색하여 공동체의 건강권 향상을 위한 활동에 관심을가지고 참여한다.</x:t>
  </x:si>
  <x:si>
    <x:t>미술의 다원성에 대한 존중을 바탕으로 미술 감상 경험을 삶과 연결하고 공동체 문화에 기여할 수 있다.</x:t>
  </x:si>
  <x:si>
    <x:t>수도권과 비수도권 간의 지역 불균형 실태를 지도로 표현하고,지역 불균형을 완화하기 위한 방안들을 제안한다.</x:t>
  </x:si>
  <x:si>
    <x:t>전기 회로에서 전류를 모형으로 설명하고,실험을 통해 저항,전류,전압 사이의 관계를 이끌어낼 수 있다.</x:t>
  </x:si>
  <x:si>
    <x:t>기후변화와 건강의 관계를 탐색하고,지속가능한 사회를 위한 개인과 공동체의 건강옹호활동을 탐구하고 실천한다.</x:t>
  </x:si>
  <x:si>
    <x:t>동물이 세포호흡을 통해 에너지를 얻는 과정을 소화,순환,호흡,배설과 관련지어 통합적으로 설명할 수 있다.</x:t>
  </x:si>
  <x:si>
    <x:t>통계적 탐구 문제를 설정하고,공학 도구를 이용하여 자료를 수집하여 분석하고,그결과를 해석할 수 있다.</x:t>
  </x:si>
  <x:si>
    <x:t>제국주의 열강의 침략에 대한 아시아의 대응 및 국민 국가 건설 노력을 이해하고,그 성과와 한계를 평가한다.</x:t>
  </x:si>
  <x:si>
    <x:t>물질의 상태 변화와 열에너지 출입 관계를 이해하고,이를 실생활에 적용하여 과학의 유용성을 인식할 수 있다.</x:t>
  </x:si>
  <x:si>
    <x:t>움직임을 표현하고 창작하는 과정에서 독창적이고 개방적인 태도를 갖고 표현 활동 작품을공감하고 비평한다.</x:t>
  </x:si>
  <x:si>
    <x:t>사회화의 의미를 일상생활의 사례를 들어 설명하고,사회화 과정에서 형성되는 자아정체성에 대해 성찰한다.</x:t>
  </x:si>
  <x:si>
    <x:t>세대⋅분야⋅매체에 따른 어휘의 양상과 쓰임을 분석하고 다양한 집단과 사회의 언어에 관용적 태도를 지닌다.</x:t>
  </x:si>
  <x:si>
    <x:t>친환경 에너지 자원의 특성을 이해하고,종류와 활용 사례를 조사하여 친환경 에너지 개발의 중요성을 인식한다.</x:t>
  </x:si>
  <x:si>
    <x:t>뉴런과 신경계의 구조와 기능을 이해하고,자극에서 반응이 일어나기까지의 과정을 모형으로설명할 수 있다.</x:t>
  </x:si>
  <x:si>
    <x:t>대기 대순환과 해양 표층 순환과의 관계를 이해하고,기후변화에 영향을 미치는 해류의역할을 설명할 수 있다.</x:t>
  </x:si>
  <x:si>
    <x:t>다양한 유형의 유럽 도시를 탐색하고,기후위기에 대응하여 지속가능한 도시를 만들기 위한 노력을 조사한다.</x:t>
  </x:si>
  <x:si>
    <x:t>우리의 일상을 규율하는 다양한 법을 탐색하고,국내외 사례를 통해 사회법이 필요한이유에 대해 토의한다.</x:t>
  </x:si>
  <x:si>
    <x:t>우리사회에 나타나는 다양한 갈등과 차별의 사례를 조사하고,이에 대처하는 시민의 자질에 대해 토의한다.</x:t>
  </x:si>
  <x:si>
    <x:t>공동체 생활에 필요한 정치의 역할을 탐색하고,다양한 정치 사례를 통해 민주주의의의미와 필요성을 도출한다.</x:t>
  </x:si>
  <x:si>
    <x:t>사용자 요구 및 주어진 환경과 조건을 충족하는 지속가능한 건설 구조물의 모형을설계⋅제작 및 평가한다.</x:t>
  </x:si>
  <x:si>
    <x:t>독자의 배경지식과 글에 나타난 정보 등을 활용하여 글에 드러나지 않은 의도나 관점을 추론하며 읽는다.</x:t>
  </x:si>
  <x:si>
    <x:t>세계화 시대에 국제 거래가 이루어지는 사례를 탐색하고,환율 변동이 우리 생활에 미치는 영향을 조사한다.</x:t>
  </x:si>
  <x:si>
    <x:t>조암 광물의 주요 특성을 관찰하고,암석과 광물의 활용 방안 및 자원으로서 가치에 대해조사할 수 있다.</x:t>
  </x:si>
  <x:si>
    <x:t>[9수02-13] 미지수가 2개인 연립일차방정식을 풀 수 있고, 이를 활용하여 문제를 해결할 수 있다.</x:t>
  </x:si>
  <x:si>
    <x:t>파동의 발생과 전달 과정을 이해하고,소리의 특성을 진폭,진동수,파형 등의 과학적 용어로 표현할 수 있다.</x:t>
  </x:si>
  <x:si>
    <x:t>[9국04-04]문장의 짜임을 이해하고 표현 효과를 고려하여 문장을 구성한다.</x:t>
  </x:si>
  <x:si>
    <x:t>[9역10-02]고려의 정치적 변동을 파악하고 주변국과의 관계를 이해한다.</x:t>
  </x:si>
  <x:si>
    <x:t>[9국05-05]작품에 반영된 사회⋅문화적 상황을 이해하며 작품을 감상한다.</x:t>
  </x:si>
  <x:si>
    <x:t>[9국06-01]대중매체와 개인 인터넷 방송의 특성과 영향력을 비교한다.</x:t>
  </x:si>
  <x:si>
    <x:t>[9과15-03]모형을 이용하여 우주가 팽창하고 있음을 설명할 수 있다.</x:t>
  </x:si>
  <x:si>
    <x:t>[9국02-02]읽기 목적과 글의 구조를 고려하며 글을 효과적으로 요약한다.</x:t>
  </x:si>
  <x:si>
    <x:t>[9국04-01]국어의 음운 체계와 문자 체계를 이해하고 국어생활에 활용한다.</x:t>
  </x:si>
  <x:si>
    <x:t>[9국06-05]매체 자료의 재현 방식을 이해하고 광고나 홍보물을 분석한다.</x:t>
  </x:si>
  <x:si>
    <x:t>면담의 다양한 목적과 상대를 고려하여 질문을 점검하고 효과적으로 면담한다.</x:t>
  </x:si>
  <x:si>
    <x:t>[9국06-03]복합양식성을 고려하여 영상 매체 자료를 제작하고 공유한다.</x:t>
  </x:si>
  <x:si>
    <x:t>[9과16-03]화학 반응에서 질량이 보존됨을 실험을 통해 추론할 수 있다.</x:t>
  </x:si>
  <x:si>
    <x:t>[9국05-03]인간의 성장을 다룬 작품을 읽으며 문학의 가치를 내면화한다.</x:t>
  </x:si>
  <x:si>
    <x:t>[9국06-06]사회⋅문화적 맥락을 고려하여 매체 자료의 공정성을 평가한다.</x:t>
  </x:si>
  <x:si>
    <x:t>[9체02-05]기록형 스포츠의 수행 원리를 적용하여 경기 기능을 수련하고 향상한다.</x:t>
  </x:si>
  <x:si>
    <x:t>[9체02-17]네트형 스포츠의 수행 원리를 적용하여 경기 기능을 수행하고 향상한다.</x:t>
  </x:si>
  <x:si>
    <x:t>[9체02-23]자연환경형 스포츠의 수행 원리를 적용하여 기능을 수행하고 향상한다.</x:t>
  </x:si>
  <x:si>
    <x:t>[9체02-20]생활환경형 스포츠의 수행 원리를 적용하여 기능을 수행하고 향상한다.</x:t>
  </x:si>
  <x:si>
    <x:t>[9체02-25]스포츠의 연습과 경기 과정에서 인내심을 발휘하여 적극적으로 도전한다.</x:t>
  </x:si>
  <x:si>
    <x:t>[9체02-08]투기형 스포츠의 수행 원리를 적용하여 경기 기능을 수련하고 향상한다.</x:t>
  </x:si>
  <x:si>
    <x:t>[9체02-02]동작형 스포츠의 수행 원리를 적용하여 경기 기능을 수련하고 향상한다.</x:t>
  </x:si>
  <x:si>
    <x:t>[9체02-14]필드형 스포츠의 수행 원리를 적용하여 경기 기능을 수행하고 향상한다.</x:t>
  </x:si>
  <x:si>
    <x:t>[9체02-11]영역형 스포츠의 수행 원리를 적용하여 경기 기능을 수행하고 향상한다.</x:t>
  </x:si>
  <x:si>
    <x:t>[9정04-01]인공지능의 개념과 특성을 설명하고 인공지능 소프트웨어를 구별한다.</x:t>
  </x:si>
  <x:si>
    <x:t>[9보05-04]건강 신념과 규범⋅관행 및 미디어 등이 건강에 미치는 영향을 탐색하고 건강하게 개선하려는태도를 발전시켜 건강관리와 건강문제 해결에 적용한다.</x:t>
  </x:si>
  <x:si>
    <x:t>[9보05-02]디지털⋅인공지능 시대에 따른 보건의료서비스와 건강정보를 포함한 건강자원의 변화를 알아보고 건강에 유익하게 활용하며 개선방안을 탐색한다.</x:t>
  </x:si>
  <x:si>
    <x:t>[9사(지리)12-02]지역 개발과 환경 보존을 둘러싼 글로컬 환경 이슈에 관심을 가지고 자신의 웰빙및 공동체의 지속가능한 발전을 위해 참여하고 실천한다.</x:t>
  </x:si>
  <x:si>
    <x:t>[9보02-03]자아 존중감에 대해 이해하고 생활 속에서 자아 존중감을 높이는 상황과 저하시키는 상황을 탐색하여 대처하고 지지하여 건강한 자아상을 추구한다.</x:t>
  </x:si>
  <x:si>
    <x:t>상대의 말을 경청하고 상대의 감정과 입장에 공감하는 반응을 보이며 대화한다.</x:t>
  </x:si>
  <x:si>
    <x:t>북한에 대한 이해를 바탕으로 분단의 문제점을 분석하고,도덕적 가치에 기초하여 통일의의미를 재구성함으로써 바람직한 남북관계 및 통일의 방향을 제안할 수 있다.</x:t>
  </x:si>
  <x:si>
    <x:t>환경은 물,대기,토양,생물로 구성된 지구 생태계와 정치⋅경제⋅문화⋅법과 제도 등 인간사회의 상호 작용을 기반으로 다양성과 복잡성을 가진 시스템임을 탐구한다.</x:t>
  </x:si>
  <x:si>
    <x:t>다양한 갈등 상황을 평화적으로 해결할 수 있는 방안을 모색하고,폭력의 유형과 원인,결과에 대한 분석을 바탕으로 일상의 폭력 상황에 대한 대처 능력을 기른다.</x:t>
  </x:si>
  <x:si>
    <x:t>청소년기의 바람직한 성윤리를 탐구하여 내면화하고,사회⋅문화적 차원에서 성의 의미를 파악하여 성에 대한 편견의 문제점을 분석하고 이를 바로잡는 의지를 기른다.</x:t>
  </x:si>
  <x:si>
    <x:t>다양한 현대 가족에 내재된 가족생활의 보편성과 고유한 가치를 존중하는 동시에 가족에대한 유연한 태도를 길러,뉴노멀 사회에서의 새로운 가족문화를 탐색한다.</x:t>
  </x:si>
  <x:si>
    <x:t>초국적 기업의 글로벌 생산체제에 대한 이해를 바탕으로,초국적 기업의 아메리카 지역 내 입지와 해외 이전의 이유,그에 따른 해당 지역의 변화를 분석한다.</x:t>
  </x:si>
  <x:si>
    <x:t>기술의 표준화,적정 기술과 같은 기술 활용 사례를 탐구하고,기술이 사회에 미치는 영향을 바르게 인식하여 기술 혁신과 사회 발전에 참여하는 태도를 갖는다.</x:t>
  </x:si>
  <x:si>
    <x:t>삶의 유한함에 관한 성찰을 통해 생명의 소중함과 의미 있는 삶의 중요성을 인식하고,자신의 미래 모습을 상상하며 삶을 계획하고 이를 실천하는 의지를 기른다.</x:t>
  </x:si>
  <x:si>
    <x:t>기술의 의미와 특성을 이해하고 기술의 발달에 따른 사회의 변화를 파악하며,미래의 기술과 사회의 변화를 평가하고 예측함으로써 기술에 대한 가치를 인식한다.</x:t>
  </x:si>
  <x:si>
    <x:t>생태계 구성 요소인 물,대기,토양,생물이 지구 생태계의 유지에 기여하는 역할과 특징을 살펴보고,이를 통해 지구 생태계 구성 요소의 상호 작용을 파악한다.</x:t>
  </x:si>
  <x:si>
    <x:t>[9기가02-14]디지털 생활환경으로 나타난 일상생활의 혁신과 변화를 비판적으로 분석한 결과를삶의 질 향상에 활용할 수 있는 방안을 탐색하여 제안한다.</x:t>
  </x:si>
  <x:si>
    <x:t>[9기가01-08]성적 자기 결정권의 중요성을 이해하고,성인지 감수성과 건강한 성 가치관을 함양하여상호 존중의 관계를 실천할 수 있는 방안을 탐색한다.</x:t>
  </x:si>
  <x:si>
    <x:t>[9과11-02]원소를 구성하는 입자인 원자는 양성자,중성자,전자로 구성되며,양성자의 수에 따라원소의 종류가 달라짐을 입자 모형을 활용하여 설명할 수 있다.</x:t>
  </x:si>
  <x:si>
    <x:t>[9기가01-09]일상생활 및 가상공간에서 만나는 또래와 건강한 관계를 형성하고,다양한 주변인들과 친밀한 세대 간 관계를 형성하는 방안을 탐색하여 실천한다.</x:t>
  </x:si>
  <x:si>
    <x:t>사례를 중심으로 디지털 공간에서 함께 살아가기 위해 개인 정보 및 권리와 저작권을 보호하는 실천 방법을 탐구한다.</x:t>
  </x:si>
  <x:si>
    <x:t>제주도의 지역 변화와 이를 둘러싼 다양한 가치를 살펴보고 이에 대한 자신과 상대방의 의견을 비판적으로 검토한다.</x:t>
  </x:si>
  <x:si>
    <x:t>오감을 활용해 자연을 체험하고,자연의 아름다움이나 변화,훼손 등에 대한 생각과 감정을 다양한 방법으로 표현한다.</x:t>
  </x:si>
  <x:si>
    <x:t>기계의 구성 요소 및 동력 전달 장치의 종류와 특징을 이해하고,작동 원리에 맞는기계요소를 선택하여 평가한다.</x:t>
  </x:si>
  <x:si>
    <x:t>피지컬 컴퓨팅의 개념을 이해하고,생활 속에서 적용된 사례 조사를 통해 컴퓨팅 시스템의필요성과 가치를 판단한다.</x:t>
  </x:si>
  <x:si>
    <x:t>온실가스의 종류와 특성을 알아보고,온실가스 배출원과 배출량을 비교하여 인간 활동이기후변화에 끼친 영향을 파악한다.</x:t>
  </x:si>
  <x:si>
    <x:t>아프리카의 지리적 특성에 기반한 다양한 문화와 지역 잠재력을 탐구하고,아프리카에 대한 자신의 인식을 성찰한다.</x:t>
  </x:si>
  <x:si>
    <x:t>사회변화로 증가하는 여러 가지 청소년 중독의 유형을 탐색하여 이를 예방하고 대응할 수 있는 방안을 제안한다.</x:t>
  </x:si>
  <x:si>
    <x:t>지속가능한 미래를 위한 기후위기 대응 방향을 토의하고,개인적⋅지역적⋅국가적 차원의 기후행동 사례를 탐구한다.</x:t>
  </x:si>
  <x:si>
    <x:t>주거의 의미와 가치가 변화함에 따라 나타나는 다양한 생활 양식을 탐색하고,더불어 살아가는 주거 문화를 실천한다.</x:t>
  </x:si>
  <x:si>
    <x:t>성폭력⋅성매개감염병 등 성 건강 위험요소를 미디어 문해력 및 성문화와 관련지어 탐색하고건강하게 관리⋅옹호한다.</x:t>
  </x:si>
  <x:si>
    <x:t>조형 요소와 원리,표현 재료와 방법,디지털 매체를 포함한 다양한 매체를 활용하여주제를 효과적으로 표현할 수 있다.</x:t>
  </x:si>
  <x:si>
    <x:t>생명기술을 이해하며,이와 관련된 문제의 해결 방안을 탐색,실현,평가하고,생명 존중 및 윤리적 태도를 갖는다.</x:t>
  </x:si>
  <x:si>
    <x:t>우리 국토의 위치와 영역에 대한 이해를 바탕으로 세계 속에서 우리나라의 위치를 지정학,지경학적 측면에서 탐색한다.</x:t>
  </x:si>
  <x:si>
    <x:t>감염병과 면역의 원리를 이해하고 개인과 공동체가 지켜야 할 건강수칙을 탐색하여 근거와 함께 제안하고 실천한다.</x:t>
  </x:si>
  <x:si>
    <x:t>의식주 생활자원의 생산과 폐기과정을 탐색하고,일상생활에서 의식주 생활자원을선택한 과정과 그 결과를 성찰한다.</x:t>
  </x:si>
  <x:si>
    <x:t>염색체와 유전자의 관계를 이해하고,체세포분열과 생식세포 형성과정의 특징을 염색체행동을 중심으로 해석할 수 있다.</x:t>
  </x:si>
  <x:si>
    <x:t>지역 간 역학관계에 따른 유럽의 통합과 분리의 움직임이 유럽연합의 변화와 주민 생활에 미치는 영향을 탐색한다.</x:t>
  </x:si>
  <x:si>
    <x:t>과학과 관련된 직업의 종류와 하는 일을 조사하고,과학기술의 발달로 생기는 미래 사회의직업 변화를 예상할 수 있다.</x:t>
  </x:si>
  <x:si>
    <x:t>다양한 기계요소와 동력 전달 방법을 활용하여 주어진 문제를 해결할 수 있는 운동물체를 안전하게 제작하고 평가한다.</x:t>
  </x:si>
  <x:si>
    <x:t>물질을 이루는 입자는 원자,분자,이온 등으로 존재할 수 있음을 알고,이온은 전하를 띠고 있음을 설명할 수 있다.</x:t>
  </x:si>
  <x:si>
    <x:t>물체의 운동에서 역학적 에너지의 전환과 보존을 이해하고,이를 활용하여 일상생활 속 물체의 운동을 예측할 수 있다.</x:t>
  </x:si>
  <x:si>
    <x:t>식물의 호흡과 광합성의 관계를 이해하고,호흡과 광합성 과정에서 출입하는 에너지와물질의 변화를 분석할 수 있다.</x:t>
  </x:si>
  <x:si>
    <x:t>현대 민주주의의 특징과 과제를 검토하고,우리나라 민주주의의 발전을 위한 제도적방안과 시민의 역할에 대해 토의한다.</x:t>
  </x:si>
  <x:si>
    <x:t>아시아의 인구 특징을 파악하고 지역별 인구 구조 변화를 비교하여 지역 발전의 가능성및 변화 모습을 추론한다.</x:t>
  </x:si>
  <x:si>
    <x:t>물질에 따라 비열과 열팽창 정도가 다름을 알고,이러한 성질이 일상생활에서 유용하게 활용됨을 인식할 수 있다.</x:t>
  </x:si>
  <x:si>
    <x:t>인류의 고통에 공감하며 지구적 차원의 다양한 도덕 문제들을 탐구하고,해결 방안을 모색하여 실천하는 자세를 갖는다.</x:t>
  </x:si>
  <x:si>
    <x:t>다양한 민족(인종)으로 구성된 아메리카의 인구 특징을 살펴보고,사례를 들어 아메리카의 문화 혼종성을 설명한다.</x:t>
  </x:si>
  <x:si>
    <x:t>우리 주변에서 활용되는 미디어들을 탐색하고,미디어를 통해 경험하는 다양한 문화와 정보들을 비판적으로 검토한다.</x:t>
  </x:si>
  <x:si>
    <x:t>오늘날 우리 사회가 겪는 사회 변동에 대해 조사하고,이러한 사회 변동이 우리 생활에 미치는 영향을 분석한다.</x:t>
  </x:si>
  <x:si>
    <x:t>[9과16-01]물리 변화와 화학 변화의 의미를 알고,화학 변화에서 새로운 물질이 생성됨을 관찰할 수 있다.</x:t>
  </x:si>
  <x:si>
    <x:t>실생활의 데이터가 디지털 형태로 변환되어 활용되는 긍정적 가치를 탐색하고,다양한데이터를 디지털 형태로 표현한다.</x:t>
  </x:si>
  <x:si>
    <x:t>[9기가02-09]효율적인 주거 공간 구성 방안을 탐색하여 자신의 생활에 적합한 주거 공간 구성에 활용한다.</x:t>
  </x:si>
  <x:si>
    <x:t>[9과17-01]지구 대기권을4개 권역으로 구분하며,온실효과와 지구온난화를 복사 평형의 관점으로 설명할 수 있다.</x:t>
  </x:si>
  <x:si>
    <x:t>[9과20-01]감각기관의 구조와 기능을 이해하고,실험을 통해 자극이 뇌로 전달되는 과정을 추론할 수 있다.</x:t>
  </x:si>
  <x:si>
    <x:t>응급의료체계의 활용 방안을 탐색하고 심폐소생술과 자동심장충격기의 원리와 사용법을 익혀협력적으로 바르게 적용한다.</x:t>
  </x:si>
  <x:si>
    <x:t>민주주의의 발전을 위한 지방 자치의 중요성을 설명하고,지역사회의 문제를 해결하기 위한 시민 참여 활동을 계획한다.</x:t>
  </x:si>
  <x:si>
    <x:t>[9과17-03]상대습도,단열 팽창 및 응결 현상의 관계를 이해하고,구름의 생성과 강수 과정을 설명할 수 있다.</x:t>
  </x:si>
  <x:si>
    <x:t>디지털 사회의 구성원으로서 편리하고 안전한 생활을 위한 규칙에 대해 민주적으로 논의하고 실천 방안을 수립한다.</x:t>
  </x:si>
  <x:si>
    <x:t>다양한 지리 정보와 매체를 활용하여 유럽의 국가와 주요 도시의 위치를 파악하고 자연환경의 특성을 지도로 표현한다.</x:t>
  </x:si>
  <x:si>
    <x:t>삶에서 직업이 갖는 의미와 가치를 파악하며,사례 탐구를 통해 직업적 양심과 직업윤리의 필요성을 정당화할 수 있다.</x:t>
  </x:si>
  <x:si>
    <x:t>지구 자전에 의한 천체의 겉보기 운동과 지구 공전에 의한 별자리 변화를 이해하고,밤하늘 천체에 호기심을 가진다.</x:t>
  </x:si>
  <x:si>
    <x:t>일의 정의를 알고,자유 낙하하는 물체의 운동에서 중력이 한 일을 위치 에너지와 운동 에너지로 표현할 수 있다.</x:t>
  </x:si>
  <x:si>
    <x:t>인류의 지속가능한 삶을 위한 과학기술의 중요성과 역할에 대해 토의하고,개인과 사회 차원의 활동 방안을 찾아 실천할 수 있다.</x:t>
  </x:si>
  <x:si>
    <x:t>인간의 건강과 생명 연장을 위해 의료 분야에서 활용되는 생명기술 사례를 조사하고,생명기술이 개인과 사회에 미친 영향을 평가한다.</x:t>
  </x:si>
  <x:si>
    <x:t>행복에 관한 심리적,사회적,윤리적 접근 등을 통해 행복의 의미를 종합적으로 파악하고,삶의 목적과 행복의 관계를 정립할 수 있다.</x:t>
  </x:si>
  <x:si>
    <x:t>건강과 성장을 위한 청소년기 영양의 중요성을 이해하여 자신의 식생활을 평가하고,식생활 문제를 개선하여 건강한 식생활을 실천한다.</x:t>
  </x:si>
  <x:si>
    <x:t>성폭력과 가정폭력의 사회⋅구조적인 원인과 영향을 분석하고,다양한 문제 상황을 중심으로 이를 대처하고 지원하는 방안을 탐색한다.</x:t>
  </x:si>
  <x:si>
    <x:t>친구의 의미와 가치를 삶의 맥락 속에서 탐구하고,서로를 인격적으로 존중하는 친구 관계를 상상하며 이를 실현하는 의지를 기른다.</x:t>
  </x:si>
  <x:si>
    <x:t>긍정적이고 공감하는 문제 해결 태도를 바탕으로 지속가능한 발전과 혁신을 위해 융합 기술 문제를 해결하고 과정과 결과를 평가한다.</x:t>
  </x:si>
  <x:si>
    <x:t>감정과 스트레스의 적절한 인식과 표현,지지와 공감 및 다양성 존중을 통해 관계 속에서 행복함과 건강한 관계 맺기를 보여준다.</x:t>
  </x:si>
  <x:si>
    <x:t>대인 관계에서 발생하는 갈등의 원인과 배경을 분석하고,효과적인 의사소통을 통해갈등을 해결하는 방안을 탐색하여 이를 적용한다.</x:t>
  </x:si>
  <x:si>
    <x:t>건설 구조물의 종류에 따른 계획,설계,시공,유지관리 방법을 탐구하고 건설과정의 중요성을 이해하며 건설 구조물의 가치를 인식한다.</x:t>
  </x:si>
  <x:si>
    <x:t>극지방의 지리적 중요성과 지역 개발을 둘러싼 다양한 이해관계를 살펴보고,이에 대한 자신과 상대방의 의견을 비판적으로 검토한다.</x:t>
  </x:si>
  <x:si>
    <x:t>물체의 색을 빛의 반사와 관련지어 설명하고,영상 장치에서 빛의 합성을 이용하여 다양한색이 표현되는 원리를 이해할 수 있다.</x:t>
  </x:si>
  <x:si>
    <x:t>정의로운 사회를 상상해보고,이를 실현할 수 있는 정의의 원칙과 제도에 대한 다양한 의견들을 민주적인 방식으로 종합할 수 있다.</x:t>
  </x:si>
  <x:si>
    <x:t>[9기가01-06]사회변화로 증가하는 여러 가지 청소년 중독의 유형을 탐색하여 이를 예방하고 대응할 수 있는 방안을 제안한다.</x:t>
  </x:si>
  <x:si>
    <x:t>성적자기결정권을 균형 있게 탐색하여 안전하고 행복한 대처전략을 세우고 이성 교제 시 경계를 존중하고 배려하는 자세를 갖는다.</x:t>
  </x:si>
  <x:si>
    <x:t>정보통신과 인공지능 기술의 활용 사례를 탐구하고,정보통신과 인공지능 기술이우리 삶에 미치는 영향을 다양한 관점에서 평가한다.</x:t>
  </x:si>
  <x:si>
    <x:t>[9과11-04]물질을 이루는 입자는 원자,분자,이온 등으로 존재할 수 있음을 알고,이온은 전하를 띠고 있음을 설명할 수 있다.</x:t>
  </x:si>
  <x:si>
    <x:t>근호를 포함한 식의 사칙계산의 원리를 이해하고,그 계산을 할 수 있다.</x:t>
  </x:si>
  <x:si>
    <x:t>운율,비유,상징의 특성과 효과에 유의하며 작품을 감상하고 창작한다.</x:t>
  </x:si>
  <x:si>
    <x:t>피동 표현과 인용 표현의 의도와 효과를 분석하고 상황에 맞게 활용한다.</x:t>
  </x:si>
  <x:si>
    <x:t>문학을 통해 타자를 이해하고 공동체의 문제에 참여하는 태도를 지닌다.</x:t>
  </x:si>
  <x:si>
    <x:t>진로나 관심 분야에 대한 다양한 책이나 자료를 스스로 찾아 읽는다.</x:t>
  </x:si>
  <x:si>
    <x:t>정수와 유리수의 사칙계산의 원리를 이해하고,그 계산을 할 수 있다.</x:t>
  </x:si>
  <x:si>
    <x:t>자신의 삶과 경험을 바탕으로 정서를 진솔하게 표현하는 글을 쓴다.</x:t>
  </x:si>
  <x:si>
    <x:t>담화 공동체에 따른 듣기⋅말하기 방식의 다양성을 고려하여 듣고 말한다.</x:t>
  </x:si>
  <x:si>
    <x:t>자연환경형 스포츠의 수행 원리를 적용하여 기능을 수행하고 향상한다.</x:t>
  </x:si>
  <x:si>
    <x:t>소통 맥락과 수용자 참여 양상을 고려하여 상호 작용적 매체를 분석한다.</x:t>
  </x:si>
  <x:si>
    <x:t>토론에서 반론을 고려하여 타당한 논증을 구성하고 논리적으로 반박한다.</x:t>
  </x:si>
  <x:si>
    <x:t>서로의 감정이나 바라는 바를 진솔하게 표현하면서 갈등을 조정한다.</x:t>
  </x:si>
  <x:si>
    <x:t>재판의 의미와 종류를 설명하고,공정한 재판의 중요성에 대해 토의한다.</x:t>
  </x:si>
  <x:si>
    <x:t>복수의 자료를 활용하여 다양한 형식으로 정보를 전달하는 글을 쓴다.</x:t>
  </x:si>
  <x:si>
    <x:t>언어폭력의 문제점을 성찰하고,서로를 존중하는 표현을 사용하여 말한다.</x:t>
  </x:si>
  <x:si>
    <x:t>순환소수의 뜻을 알고,유리수와 순환소수의 관계를 설명할 수 있다.</x:t>
  </x:si>
  <x:si>
    <x:t>스포츠의 연습과 경기 과정에서 인내심을 발휘하여 적극적으로 도전한다.</x:t>
  </x:si>
  <x:si>
    <x:t>토의에서 다양한 의견을 교환하여 대안을 마련하고 문제를 해결한다.</x:t>
  </x:si>
  <x:si>
    <x:t>[9역01-02]</x:t>
  </x:si>
  <x:si>
    <x:t>[9역08-03]</x:t>
  </x:si>
  <x:si>
    <x:t>[9역07-01]</x:t>
  </x:si>
  <x:si>
    <x:t>[9역06-01]</x:t>
  </x:si>
  <x:si>
    <x:t>[9역05-03]</x:t>
  </x:si>
  <x:si>
    <x:t>[9역05-02]</x:t>
  </x:si>
  <x:si>
    <x:t>[9역07-03]</x:t>
  </x:si>
  <x:si>
    <x:t>[9역06-03]</x:t>
  </x:si>
  <x:si>
    <x:t>[9역07-02]</x:t>
  </x:si>
  <x:si>
    <x:t>[9역06-02]</x:t>
  </x:si>
  <x:si>
    <x:t>[9국05-08]</x:t>
  </x:si>
  <x:si>
    <x:t>[9도01-02]</x:t>
  </x:si>
  <x:si>
    <x:t>[9국05-04]</x:t>
  </x:si>
  <x:si>
    <x:t>[9국05-06]</x:t>
  </x:si>
  <x:si>
    <x:t>[9국04-05]</x:t>
  </x:si>
  <x:si>
    <x:t>[9국05-02]</x:t>
  </x:si>
  <x:si>
    <x:t>[9국04-07]</x:t>
  </x:si>
  <x:si>
    <x:t>[9도01-07]</x:t>
  </x:si>
  <x:si>
    <x:t>[9도02-02]</x:t>
  </x:si>
  <x:si>
    <x:t>[9국05-07]</x:t>
  </x:si>
  <x:si>
    <x:t>[9국04-06]</x:t>
  </x:si>
  <x:si>
    <x:t>[9국06-01]</x:t>
  </x:si>
  <x:si>
    <x:t>[9국05-09]</x:t>
  </x:si>
  <x:si>
    <x:t>[9도01-05]</x:t>
  </x:si>
  <x:si>
    <x:t>[9도02-04]</x:t>
  </x:si>
  <x:si>
    <x:t>[9국06-03]</x:t>
  </x:si>
  <x:si>
    <x:t>[9국06-02]</x:t>
  </x:si>
  <x:si>
    <x:t>[9국06-05]</x:t>
  </x:si>
  <x:si>
    <x:t>[9국06-04]</x:t>
  </x:si>
  <x:si>
    <x:t>[9국05-03]</x:t>
  </x:si>
  <x:si>
    <x:t>[9국06-06]</x:t>
  </x:si>
  <x:si>
    <x:t>[9도01-04]</x:t>
  </x:si>
  <x:si>
    <x:t>[9도04-02]</x:t>
  </x:si>
  <x:si>
    <x:t>[9도01-03]</x:t>
  </x:si>
  <x:si>
    <x:t>[9도03-04]</x:t>
  </x:si>
  <x:si>
    <x:t>[9도02-03]</x:t>
  </x:si>
  <x:si>
    <x:t>[9도02-01]</x:t>
  </x:si>
  <x:si>
    <x:t>[9도03-05]</x:t>
  </x:si>
  <x:si>
    <x:t>[9도04-01]</x:t>
  </x:si>
  <x:si>
    <x:t>[9도03-01]</x:t>
  </x:si>
  <x:si>
    <x:t>[9도01-01]</x:t>
  </x:si>
  <x:si>
    <x:t>[9도01-06]</x:t>
  </x:si>
  <x:si>
    <x:t>[9도03-07]</x:t>
  </x:si>
  <x:si>
    <x:t>[9수01-05]</x:t>
  </x:si>
  <x:si>
    <x:t>[9도03-03]</x:t>
  </x:si>
  <x:si>
    <x:t>[9도02-05]</x:t>
  </x:si>
  <x:si>
    <x:t>[9도02-06]</x:t>
  </x:si>
  <x:si>
    <x:t>[9도03-06]</x:t>
  </x:si>
  <x:si>
    <x:t>[9수01-09]</x:t>
  </x:si>
  <x:si>
    <x:t>[9수03-03]</x:t>
  </x:si>
  <x:si>
    <x:t>[9수01-01]</x:t>
  </x:si>
  <x:si>
    <x:t>[9수01-06]</x:t>
  </x:si>
  <x:si>
    <x:t>[9수01-07]</x:t>
  </x:si>
  <x:si>
    <x:t>[9수01-02]</x:t>
  </x:si>
  <x:si>
    <x:t>[9수02-06]</x:t>
  </x:si>
  <x:si>
    <x:t>[9수01-03]</x:t>
  </x:si>
  <x:si>
    <x:t>[9수02-01]</x:t>
  </x:si>
  <x:si>
    <x:t>[9수01-08]</x:t>
  </x:si>
  <x:si>
    <x:t>[9도03-02]</x:t>
  </x:si>
  <x:si>
    <x:t>[9수02-02]</x:t>
  </x:si>
  <x:si>
    <x:t>[9수01-04]</x:t>
  </x:si>
  <x:si>
    <x:t>[9수02-09]</x:t>
  </x:si>
  <x:si>
    <x:t>[9수03-06]</x:t>
  </x:si>
  <x:si>
    <x:t>[9수03-01]</x:t>
  </x:si>
  <x:si>
    <x:t>[9수02-07]</x:t>
  </x:si>
  <x:si>
    <x:t>[9수01-10]</x:t>
  </x:si>
  <x:si>
    <x:t>[9수02-03]</x:t>
  </x:si>
  <x:si>
    <x:t>[9수03-05]</x:t>
  </x:si>
  <x:si>
    <x:t>[9역01-01]</x:t>
  </x:si>
  <x:si>
    <x:t>[9수02-08]</x:t>
  </x:si>
  <x:si>
    <x:t>[9수04-06]</x:t>
  </x:si>
  <x:si>
    <x:t>[9수03-12]</x:t>
  </x:si>
  <x:si>
    <x:t>[9수03-02]</x:t>
  </x:si>
  <x:si>
    <x:t>[9수02-05]</x:t>
  </x:si>
  <x:si>
    <x:t>[9수03-04]</x:t>
  </x:si>
  <x:si>
    <x:t>[9수02-04]</x:t>
  </x:si>
  <x:si>
    <x:t>[9수03-07]</x:t>
  </x:si>
  <x:si>
    <x:t>[9수04-04]</x:t>
  </x:si>
  <x:si>
    <x:t>[9수03-19]</x:t>
  </x:si>
  <x:si>
    <x:t>[9수03-18]</x:t>
  </x:si>
  <x:si>
    <x:t>[9수03-15]</x:t>
  </x:si>
  <x:si>
    <x:t>[9수04-01]</x:t>
  </x:si>
  <x:si>
    <x:t>[9수03-11]</x:t>
  </x:si>
  <x:si>
    <x:t>[9수03-16]</x:t>
  </x:si>
  <x:si>
    <x:t>[9수03-09]</x:t>
  </x:si>
  <x:si>
    <x:t>[9역04-02]</x:t>
  </x:si>
  <x:si>
    <x:t>[9수03-17]</x:t>
  </x:si>
  <x:si>
    <x:t>[9수03-10]</x:t>
  </x:si>
  <x:si>
    <x:t>[9역02-03]</x:t>
  </x:si>
  <x:si>
    <x:t>[9수03-13]</x:t>
  </x:si>
  <x:si>
    <x:t>[9수04-07]</x:t>
  </x:si>
  <x:si>
    <x:t>[9수04-02]</x:t>
  </x:si>
  <x:si>
    <x:t>[9수04-03]</x:t>
  </x:si>
  <x:si>
    <x:t>[9수03-14]</x:t>
  </x:si>
  <x:si>
    <x:t>[9수03-08]</x:t>
  </x:si>
  <x:si>
    <x:t>[9국01-05]</x:t>
  </x:si>
  <x:si>
    <x:t>[9국01-04]</x:t>
  </x:si>
  <x:si>
    <x:t>[9수04-05]</x:t>
  </x:si>
  <x:si>
    <x:t>[9국01-03]</x:t>
  </x:si>
  <x:si>
    <x:t>[9역03-01]</x:t>
  </x:si>
  <x:si>
    <x:t>[9역05-01]</x:t>
  </x:si>
  <x:si>
    <x:t>[9역02-02]</x:t>
  </x:si>
  <x:si>
    <x:t>[9역04-01]</x:t>
  </x:si>
  <x:si>
    <x:t>성취기준 세부내용</x:t>
  </x:si>
  <x:si>
    <x:t>[9역03-03]</x:t>
  </x:si>
  <x:si>
    <x:t>[9수04-08]</x:t>
  </x:si>
  <x:si>
    <x:t>[9역03-02]</x:t>
  </x:si>
  <x:si>
    <x:t>[9역02-01]</x:t>
  </x:si>
  <x:si>
    <x:t>[9역04-03]</x:t>
  </x:si>
  <x:si>
    <x:t>[9수04-09]</x:t>
  </x:si>
  <x:si>
    <x:t>신체 건강의 의미를 이해하고 신체 건강 활동의 종류와 특성을 분석한다.</x:t>
  </x:si>
  <x:si>
    <x:t>다양한 주법과 표현 기법을 향상시켜 노래나 악기로 개성 있게 연주한다.</x:t>
  </x:si>
  <x:si>
    <x:t>다양한 시대⋅사회⋅문화권의 음악을 듣고 음악의 배경과 역할을 비교한다.</x:t>
  </x:si>
  <x:si>
    <x:t>선사 문화 및 문명의 형성을 이해하고,각 문명의 특징을 비교한다.</x:t>
  </x:si>
  <x:si>
    <x:t>원의 현에 관한 성질과 접선에 관한 성질을 이해하고 정당화할 수 있다.</x:t>
  </x:si>
  <x:si>
    <x:t>인공지능의 개념과 특성을 설명하고 인공지능 소프트웨어를 구별한다.</x:t>
  </x:si>
  <x:si>
    <x:t>다양한 상황을 그래프로 나타내고,주어진 그래프를 해석할 수 있다.</x:t>
  </x:si>
  <x:si>
    <x:t>투기형 스포츠의 수행 원리를 적용하여 경기 기능을 수련하고 향상한다.</x:t>
  </x:si>
  <x:si>
    <x:t>기록형 스포츠의 수행 원리를 적용하여 경기 기능을 수련하고 향상한다.</x:t>
  </x:si>
  <x:si>
    <x:t>아시아⋅아프리카 지역의 민족 운동을 이해하고,그 특징을 비교한다.</x:t>
  </x:si>
  <x:si>
    <x:t>생활환경형 스포츠의 수행 원리를 적용하여 기능을 수행하고 향상한다.</x:t>
  </x:si>
  <x:si>
    <x:t>간단하고 쉬운 듣기 자료나 상대방의 말을 경청하고 적절하게 반응한다.</x:t>
  </x:si>
  <x:si>
    <x:t>시각 문화의 의미와 역할을 알고 이미지를 비판적으로 해석할 수 있다.</x:t>
  </x:si>
  <x:si>
    <x:t>필드형 스포츠의 수행 원리를 적용하여 경기 기능을 수행하고 향상한다.</x:t>
  </x:si>
  <x:si>
    <x:t>종의 개념과 분류 체계를 이해하고,생물을 계 수준에서 분류할 수 있다.</x:t>
  </x:si>
  <x:si>
    <x:t>압력의 의미를 알고,기체의 압력을 입자의 운동으로 설명할 수 있다.</x:t>
  </x:si>
  <x:si>
    <x:t>영역형 스포츠의 수행 원리를 적용하여 경기 기능을 수행하고 향상한다.</x:t>
  </x:si>
  <x:si>
    <x:t>정신 건강의 의미를 이해하고 정신 건강 활동의 종류와 특성을 분석한다.</x:t>
  </x:si>
  <x:si>
    <x:t>고려의 문화유산과 대외 교류의 사례를 조사하여 그 특징을 파악한다.</x:t>
  </x:si>
  <x:si>
    <x:t xml:space="preserve"> 20세기 후반 민주주의와 인권의 신장을 위한 노력에 관심을 갖는다.</x:t>
  </x:si>
  <x:si>
    <x:t>생물다양성을 이해하고,변이와 생물다양성의 관계를 추론할 수 있다.</x:t>
  </x:si>
  <x:si>
    <x:t>광합성 산물의 저장과 이용 과정을 이해하고,모형으로설명할수 있다.</x:t>
  </x:si>
  <x:si>
    <x:t>다양한 수송 수단과 물류 체제를 이해하고 발달과정 및 특징과 혁신적인 활용 사례를 조사하여 수송 분야의 발달을 전망한다.</x:t>
  </x:si>
  <x:si>
    <x:t>멘델 유전 실험의 의의와 원리를 이해하고,멘델 유전 원리가 적용되는 유전 현상을 조사하여협력적으로 소통할 수 있다.</x:t>
  </x:si>
  <x:si>
    <x:t>종교와 관련된 아시아의 다양한 문화경관과 생활양식을 파악하고,세계시민으로서 문화다양성에 대한 이해와 수용성을 높인다.</x:t>
  </x:si>
  <x:si>
    <x:t>세계시민의 관점에서 한반도 평화의 중요성을 논의하고,한반도 평화와 통일 환경 속에서 우리의 삶과 국토의 미래를 구상한다.</x:t>
  </x:si>
  <x:si>
    <x:t>사회 변동과 사회문제에 대응하는 국내외의 사례들을 검토하고,시민으로서 지녀야 할 태도와 실천 방안에 대해 토의한다.</x:t>
  </x:si>
  <x:si>
    <x:t>글로벌 경제와 우리나라 산업에서 영⋅호남 공업 지역의 위상을 파악하고,영⋅호남지역의 산업 변화와 당면 과제를 조사한다.</x:t>
  </x:si>
  <x:si>
    <x:t>크리스트교 세계의 정치와 종교의 상관성을 이해하고,이슬람 세계와 크리스트교 세계의 충돌 및 교류의 결과를 탐구한다.</x:t>
  </x:si>
  <x:si>
    <x:t>다양한 지리 정보와 매체를 활용하여 아시아의 국가와 주요 도시의 위치를 파악하고 자연환경의 특성을 지도로 표현한다.</x:t>
  </x:si>
  <x:si>
    <x:t>삶과 죽음,상실의 의미에 대한 성찰을 바탕으로,삶의 소중함을 깨닫고 죽음⋅상실에 건강하게 대처하는 자세를 지지한다.</x:t>
  </x:si>
  <x:si>
    <x:t>읽기는 사회⋅문화적 맥락에서 의미를 구성하는 과정임을 이해하며 사회적 독서에 참여하고 사회적 독서 문화 형성에 기여한다.</x:t>
  </x:si>
  <x:si>
    <x:t>다양한 지리 정보와 매체를 활용하여 아프리카의 국가와 주요 도시의 위치를 파악하고 자연환경의 특성을 지도로 표현한다.</x:t>
  </x:si>
  <x:si>
    <x:t>건강안전의 의미와 위험요인을 탐구하여 질병과 사고를 예방하고 관리하며 건강안전 지향적환경 개선에 적극적인 태도를 갖는다.</x:t>
  </x:si>
  <x:si>
    <x:t>정보통신과 인공지능 기술 관련 문제를 이해하고 해결 방안을 탐색,실현,평가함으로써 긍정적인 문제 해결 태도를 갖는다.</x:t>
  </x:si>
  <x:si>
    <x:t>평면거울에서 상이 생기는 원리를 설명하고,일상생활에서 사용되는 거울과 렌즈의 종류를분류하고 상의 특징을 비교할 수 있다.</x:t>
  </x:si>
  <x:si>
    <x:t>다양한 사례에서 작용하는 힘과 힘의 평형 관계를 설명하고,일상생활에서 힘의 특징을 이용한 기구나 장치를 설계할 수 있다.</x:t>
  </x:si>
  <x:si>
    <x:t>다양한 지리 정보와 매체를 활용하여 아메리카의 국가와 주요 도시의 위치를 파악하고 자연환경의 특성을 지도로 표현한다.</x:t>
  </x:si>
  <x:si>
    <x:t>우리나라 주요 산지⋅하천⋅해안 지형의 위치와 특성을 파악하고,매력적인 지형경관을 탐색하여 우리 국토의 아름다움을 느낀다.</x:t>
  </x:si>
  <x:si>
    <x:t>기술적 문제에 대한 도전적 태도로 다양한 분야에 활용되고 있는 융합 기술의 사례를 탐구하고 미래의 기술 변화를 전망한다.</x:t>
  </x:si>
  <x:si>
    <x:t>자기장 안에 놓인 전류가 흐르는 코일이 받는 힘의 특성을 추리하고,전동기 등 일상생활에서 활용한 예를 찾을 수 있다.</x:t>
  </x:si>
  <x:si>
    <x:t>로봇에 활용되고 있는 제어 및 자동화 기술 등을 탐구하여 간단한 로봇을 제작하고평가함으로써 창조에 대한 자신감을 갖는다.</x:t>
  </x:si>
  <x:si>
    <x:t>급⋅만성 질병의 위험요인과 건강에 미치는 영향을 탐색하여,질병과 함께 건강하게 살아가기 위한 방안을 세우고 실천한다.</x:t>
  </x:si>
  <x:si>
    <x:t>성의 개념과 성역할 및 영향요인에 대해 성인지적 관점에서 탐색하여 안전하고 행복한 성문화와 성의식의 필요성을 이해한다.</x:t>
  </x:si>
  <x:si>
    <x:t>연주시차를 이용하여 별까지의 거리를 구할 수 있고,별의 등급과 밝기의 관계 및 표면 온도와 색의 관계를 설명할 수 있다.</x:t>
  </x:si>
  <x:si>
    <x:t>[9미03-04]미술의 다원성에 대한 존중을 바탕으로 미술 감상 경험을 삶과 연결하고 공동체 문화에 기여할 수 있다.</x:t>
  </x:si>
  <x:si>
    <x:t>[9국04-07]세대⋅분야⋅매체에 따른 어휘의 양상과 쓰임을 분석하고 다양한 집단과 사회의 언어에 관용적 태도를 지닌다.</x:t>
  </x:si>
  <x:si>
    <x:t>[9국02-03]독자의 배경지식과 글에 나타난 정보 등을 활용하여 글에 드러나지 않은 의도나 관점을 추론하며 읽는다.</x:t>
  </x:si>
  <x:si>
    <x:t>[9기가02-08]생활공간으로서 주거환경의 조건을 분석하고,쾌적하고 안전한 주거 관리 방안을 탐색하여 실생활에 적용한다.</x:t>
  </x:si>
  <x:si>
    <x:t>[9과11-03]원소는 양성자의 수에 따라 주기율표에 배치됨을 알고,주기율표에서 성질이 유사한 원소를찾을 수 있다.</x:t>
  </x:si>
  <x:si>
    <x:t>[9기가02-11]급변하는 소비환경의 변화를 이해하고,다양한 소비자 정보를 비판적으로 분석하여자신의 소비생활에 활용한다.</x:t>
  </x:si>
  <x:si>
    <x:t>[9국04-08]자신과 주변의 다양한 국어 실천 양상을 비판적으로 분석하여 언어와 자아 및 세계 사이의관계를 인식한다.</x:t>
  </x:si>
  <x:si>
    <x:t>[9과10-04]파동의 발생과 전달 과정을 이해하고,소리의 특성을 진폭,진동수,파형 등의 과학적 용어로 표현할 수 있다.</x:t>
  </x:si>
  <x:si>
    <x:t>[9보05-01]건강권 발전을 위한 노력과 건강자원을 탐색하여 공동체의 건강권 향상을 위한 활동에 관심을가지고 참여한다.</x:t>
  </x:si>
  <x:si>
    <x:t>[9과17-04]기압,기단,전선의 개념을 이해하고,일기도에서 저기압과 고기압의 분포에 따른 날씨를 해석할 수 있다.</x:t>
  </x:si>
  <x:si>
    <x:t>[9과13-05]동물이 세포호흡을 통해 에너지를 얻는 과정을 소화,순환,호흡,배설과 관련지어 통합적으로 설명할 수 있다.</x:t>
  </x:si>
  <x:si>
    <x:t>[9사(일사)01-02]사회적 지위와 역할의 의미를 설명하고,일상생활에서 나타나는 역할 갈등 사례와대응 방안을 탐색한다.</x:t>
  </x:si>
  <x:si>
    <x:t>[9과14-02]전기 회로에서 전류를 모형으로 설명하고,실험을 통해 저항,전류,전압 사이의 관계를 이끌어낼 수 있다.</x:t>
  </x:si>
  <x:si>
    <x:t>[9과18-01]수권에서 해수,담수,빙하의 분포와 활용 사례를 조사하고,자원으로서 물의 가치에 대해토론할 수 있다.</x:t>
  </x:si>
  <x:si>
    <x:t>[9과18-03]대기 대순환과 해양 표층 순환과의 관계를 이해하고,기후변화에 영향을 미치는 해류의역할을 설명할 수 있다.</x:t>
  </x:si>
  <x:si>
    <x:t>[9국06-04]매체 소통에서의 권리와 책임을 이해하고,수용자의 반응을 고려하며 매체 자료의 제작 과정을 성찰한다.</x:t>
  </x:si>
  <x:si>
    <x:t>[9과23-02]자신의 진로와 관련 있는 과학 분야를 조사하고,진로 선택을 위하여 필요한 과학 학습을계획할 수 있다.</x:t>
  </x:si>
  <x:si>
    <x:t>[9과08-03]물질의 특성을 이용하여 혼합물이 분리되는 원리를 이해하고,이를 이용한 사례를 주변에서 찾을 수 있다.</x:t>
  </x:si>
  <x:si>
    <x:t>[9기가04-03]사용자 요구 및 주어진 환경과 조건을 충족하는 지속가능한 건설 구조물의 모형을설계⋅제작 및 평가한다.</x:t>
  </x:si>
  <x:si>
    <x:t>[9과09-02]조암 광물의 주요 특성을 관찰하고,암석과 광물의 활용 방안 및 자원으로서 가치에 대해조사할 수 있다.</x:t>
  </x:si>
  <x:si>
    <x:t>[9보02-02]행위 중독이 건강에 미치는 영향과 위험요인 및 대처방안을 탐색하여 예방하고 관리하려는 태도를 갖는다.</x:t>
  </x:si>
  <x:si>
    <x:t>[9과20-02]뉴런과 신경계의 구조와 기능을 이해하고,자극에서 반응이 일어나기까지의 과정을 모형으로설명할 수 있다.</x:t>
  </x:si>
  <x:si>
    <x:t>[9사(지리)09-02]수도권의 공간 구조를 파악하고,인구⋅문화⋅경제적 측면을 중심으로 수도권의 변화양상을 탐색한다.</x:t>
  </x:si>
  <x:si>
    <x:t>[9사(지리)09-01]다양한 지리 정보와 매체를 활용하여 중부 지역의 지리적 특성 및 매력적인 여행 장소들을 탐색한다.</x:t>
  </x:si>
  <x:si>
    <x:t>[9사(일사)09-01]일상생활에서 접하는 다양한 시장의 사례를 조사하고,이를 토대로 시장의 의미와필요성을 설명한다.</x:t>
  </x:si>
  <x:si>
    <x:t>[9사(일사)04-01]선거의 기능과 기본 원칙을 검토하고,선거 과정에서 유권자와 정당이 수행하는 활동을 조사한다.</x:t>
  </x:si>
  <x:si>
    <x:t>[9사(지리)07-02]우리나라 행정구역과 주요 도시의 위치를 파악하고,자신이 살고 있는 곳의 장소성과장소감을 표현한다.</x:t>
  </x:si>
  <x:si>
    <x:t>[9체03-10]움직임을 표현하고 창작하는 과정에서 독창적이고 개방적인 태도를 갖고 표현 활동 작품을공감하고 비평한다.</x:t>
  </x:si>
  <x:si>
    <x:t>[9사(일사)06-02]기본권 제한의 요건과 한계가 헌법에 명시된 이유를 토의하고,기본권 침해 시 구제방법을 조사한다.</x:t>
  </x:si>
  <x:si>
    <x:t>[9사(일사)08-03]시장경제에서 기업의 역할과 사회적 책임을 설명하고,우리 사회에 필요한 기업가정신에 대해 토의한다.</x:t>
  </x:si>
  <x:si>
    <x:t>[9음02-05]유네스코에 등재된 우리나라의 음악 문화유산을 찾아 듣고,세계 속 국악의 위상과 문화적 가치를 인식한다.</x:t>
  </x:si>
  <x:si>
    <x:t>[9환01-04]학교나 지역 환경 탐사를 통해 지역과 나의 관계를 이해하고,탐사 결과를 다양한 매체와 방법으로 제시한다.</x:t>
  </x:si>
  <x:si>
    <x:t>[9사(일사)11-01]국제 사회를 구성하는 여러 행위 주체의 활동을 조사하고,이를 토대로 국제 사회의특징을 도출한다.</x:t>
  </x:si>
  <x:si>
    <x:t>[9사(일사)12-02]오늘날의 주요한 사회문제를 조사하고,이러한 사회문제가 우리 생활에 미치는영향에 대해 토의한다.</x:t>
  </x:si>
  <x:si>
    <x:t>[9사(일사)11-02]국제 사회의 다양한 분쟁에 대해 조사하고,지역,국가,세계의 시민으로서 우리의역할에 대해 토의한다.</x:t>
  </x:si>
  <x:si>
    <x:t>[9사(지리)10-01]다양한 지리 정보와 매체를 활용하여 남부 지역의 지리적 특성 및 매력적인 여행 장소들을 탐색한다.</x:t>
  </x:si>
  <x:si>
    <x:t>[9수04-04]통계적 탐구 문제를 설정하고,공학 도구를 이용하여 자료를 수집하여 분석하고,그결과를 해석할 수 있다.</x:t>
  </x:si>
  <x:si>
    <x:t>[9사(일사)09-02]수요 법칙과 공급 법칙을 사례를 통해 도출하고,이를 토대로 시장 가격이 결정되는원리를 설명한다.</x:t>
  </x:si>
  <x:si>
    <x:t xml:space="preserve"> ‘(단항식)×(다항식)’, ‘(다항식)÷(단항식)’과 같은 곱셈과 나눗셈의 원리를 이해하고, 그 계산을 할 수 있다.</x:t>
  </x:si>
  <x:si>
    <x:t>지구 대기권을4개 권역으로 구분하며,온실효과와 지구온난화를 복사 평형의 관점으로 설명할 수 있다.</x:t>
  </x:si>
  <x:si>
    <x:t>빛의 반사와 굴절의 원리를 이해하고,물체를 보는 과정을 빛의 경로를 이용하여 표현할 수 있다.</x:t>
  </x:si>
  <x:si>
    <x:t>대륙이동설을 이해하고,지진과 화산이 발생하는 지역의 분포를 판의 경계와 관련지어설명할 수 있다.</x:t>
  </x:si>
  <x:si>
    <x:t>원소는 양성자의 수에 따라 주기율표에 배치됨을 알고,주기율표에서 성질이 유사한 원소를찾을 수 있다.</x:t>
  </x:si>
  <x:si>
    <x:t>수도권의 공간 구조를 파악하고,인구⋅문화⋅경제적 측면을 중심으로 수도권의 변화양상을 탐색한다.</x:t>
  </x:si>
  <x:si>
    <x:t>상대습도,단열 팽창 및 응결 현상의 관계를 이해하고,구름의 생성과 강수 과정을 설명할 수 있다.</x:t>
  </x:si>
  <x:si>
    <x:t>열은 전도,대류,복사로 전달됨을 알고,열전달 과정을 모형 등을 사용하여 다양하게 표현할 수 있다.</x:t>
  </x:si>
  <x:si>
    <x:t>[9기가03-02]기술의 표준화,적정 기술과 같은 기술 활용 사례를 탐구하고,기술이 사회에 미치는 영향을 바르게 인식하여 기술 혁신과 사회 발전에 참여하는 태도를 갖는다.</x:t>
  </x:si>
  <x:si>
    <x:t>[9사(지리)04-03]지속가능한 발전을 위한 아프리카 각 지역의 노력과 세계 다양한 주체들의 협력 사례를 조사하고,세계시민으로서 우리가 참여할 수 있는 방안을 모색한다.</x:t>
  </x:si>
  <x:si>
    <x:t>신⋅재생 에너지,핵발전,자원 재활용과 쓰레기 처리 등 에너지 이용 및 자원 순환과 관련된문제를 탐구하는 과정을 계획하여 수행하고,관련된 요소 간의 상호 작용을 분석한다.</x:t>
  </x:si>
  <x:si>
    <x:t>[9기가01-10]다양한 현대 가족에 내재된 가족생활의 보편성과 고유한 가치를 존중하는 동시에 가족에대한 유연한 태도를 길러,뉴노멀 사회에서의 새로운 가족문화를 탐색한다.</x:t>
  </x:si>
  <x:si>
    <x:t>[9사(지리)08-03]우리나라 자연재해의 지리적 특성과 피해 최소화를 위한 노력을 파악하고,일상생활 속 다양한 상황에서 자연재해 발생 시 자신의 대처 방안을 탐색한다.</x:t>
  </x:si>
  <x:si>
    <x:t>[9사(지리)09-03]강원⋅충청 지역의 변화를 교통 발달과 수도권과의 관계를 중심으로 파악하고,강원⋅충청 지역의 산업 변화와 지역경제 활성화를 위한 노력을 조사한다.</x:t>
  </x:si>
  <x:si>
    <x:t>[9사(지리)12-03]더 나은 지역을 만들어 가는 사람들의 노력을 국내외 사례를 통해 살펴보고,자신이 사는 지역의 문제를 해결하기 위한 방안을 모색하고 이를 실천한다.</x:t>
  </x:si>
  <x:si>
    <x:t>기술적 문제 해결 방안을 시각화하고 도면을 작성하며,올바른 도구를 선택하여 시제품또는 모형을 제작 및 평가하는 과정에서 협업 능력,공감 능력과 의사소통 능력을 기른다.</x:t>
  </x:si>
  <x:si>
    <x:t>[9환02-01]생태계 구성 요소인 물,대기,토양,생물이 지구 생태계의 유지에 기여하는 역할과 특징을 살펴보고,이를 통해 지구 생태계 구성 요소의 상호 작용을 파악한다.</x:t>
  </x:si>
  <x:si>
    <x:t>가상공간과 현실 세계에 대한 비교⋅분석을 바탕으로 가상공간에서 발생하는 도덕 문제들의원인과 해결 방안을 제안하고,타인을 존중하며 가상공간을 활용하는 태도를 함양한다.</x:t>
  </x:si>
  <x:si>
    <x:t>[9사(지리)12-01]우리나라 주요 식량 자원 및 에너지 자원의 소비 현황과 수입국 현황을 분석하여 이와 관련된 문제를 파악하고,자원의 지속가능한 확보 방안을 모색한다.</x:t>
  </x:si>
  <x:si>
    <x:t>[9도02-01]정서적,배려적 공동체로서 가정의 특성과 도덕적 기능을 파악하고,가정에서 발생하는 갈등을 공감적인 소통과 민주적인 과정을 통해 해소하는 의지를 기른다.</x:t>
  </x:si>
  <x:si>
    <x:t>[9도01-05]삶의 유한함에 관한 성찰을 통해 생명의 소중함과 의미 있는 삶의 중요성을 인식하고,자신의 미래 모습을 상상하며 삶을 계획하고 이를 실천하는 의지를 기른다.</x:t>
  </x:si>
  <x:si>
    <x:t>[9기가03-01]기술의 의미와 특성을 이해하고 기술의 발달에 따른 사회의 변화를 파악하며,미래의 기술과 사회의 변화를 평가하고 예측함으로써 기술에 대한 가치를 인식한다.</x:t>
  </x:si>
  <x:si>
    <x:t>[9수02-11] 부등식과 그 해의 뜻을 알고, 부등식의 성질을 설명할 수 있다.</x:t>
  </x:si>
  <x:si>
    <x:t>의복디자인 요소를 고려한 자기이미지에 맞는 옷차림으로 자신을 긍정적으로 표현한다.</x:t>
  </x:si>
  <x:si>
    <x:t>약물 오⋅남용과 흡연,음주의 유혹과 압력에 대해 안전하게 선택하고 대처⋅옹호한다.</x:t>
  </x:si>
  <x:si>
    <x:t>삼각형의 합동 조건을 이해하고,이를 이용하여 두 삼각형이 합동인지 판별할 수 있다.</x:t>
  </x:si>
  <x:si>
    <x:t>우주탐사의 의의와 인류에게 미치는 영향을 조사하여 과학의 유용성을 인식할 수 있다.</x:t>
  </x:si>
  <x:si>
    <x:t>온도와 열평형 과정을 물질을 구성하는 입자들의 배치나 움직임 등으로 설명할 수 있다.</x:t>
  </x:si>
  <x:si>
    <x:t>시민 혁명을 국민 국가 형성과 연결하여 파악하고,역사적 의의와 한계를 탐구한다.</x:t>
  </x:si>
  <x:si>
    <x:t>중력,탄성력,마찰력,부력을 이해하고,각 힘의 특징을 크기와 방향으로 설명할 수 있다.</x:t>
  </x:si>
  <x:si>
    <x:t>국회에서 법률이 만들어지는 사례를 탐색하고,입법기관으로서 국회의 역할을 조사한다.</x:t>
  </x:si>
  <x:si>
    <x:t>서양의 산업화와 제국주의 정책을 이해하고,사회와 생태환경에 미친 영향을 분석한다.</x:t>
  </x:si>
  <x:si>
    <x:t>자연환경형 스포츠의 활동 방법을 이해하고 활동 전략을 활용하며 안전하게 경기한다.</x:t>
  </x:si>
  <x:si>
    <x:t>진로와 직업의 의미를 이해하고 다양한 직업인의 진로 특성과 삶의 모습을 탐색한다.</x:t>
  </x:si>
  <x:si>
    <x:t>건강과 환경을 고려한 식품의 선택,관리,보관 방법을 탐색하여 실생활에 적용한다.</x:t>
  </x:si>
  <x:si>
    <x:t>자신의 신체 조건이나 체력에 맞게 운동 처방 계획을 수립하고 안전하게 실천한다.</x:t>
  </x:si>
  <x:si>
    <x:t>자유 낙하하는 물체의 운동에서 시간에 따른 속력의 변화가 일정함을 분석할 수 있다.</x:t>
  </x:si>
  <x:si>
    <x:t>삼각형의 닮음 조건을 이해하고,이를 이용하여 두 삼각형이 닮음인지 판별할 수 있다.</x:t>
  </x:si>
  <x:si>
    <x:t>다양한 표현을 활용하여 자신의 생각과 느낌이 드러나는 글을 쓰고 독자와 공유한다.</x:t>
  </x:si>
  <x:si>
    <x:t>근거를 바탕으로 작품을 해석하고,다른 해석들과 비교하여 자신의 해석을 평가한다.</x:t>
  </x:si>
  <x:si>
    <x:t>정치활동에 참여하는 다양한 정치 주체의 역할을 탐색하고,정치과정의 의미를 설명한다.</x:t>
  </x:si>
  <x:si>
    <x:t>사회적 건강의 의미를 이해하고 사회적 건강을 위한 활동의 종류와 특성을 분석한다.</x:t>
  </x:si>
  <x:si>
    <x:t>스포츠 표현의 특성과 원리를 반영한 작품을 창작하고 표현 요소를 고려하여 감상한다.</x:t>
  </x:si>
  <x:si>
    <x:t>문제 해결을 위한 추상화의 중요성을 이해하고,핵심요소를 중심으로 알고리즘을 표현한다.</x:t>
  </x:si>
  <x:si>
    <x:t>호흡계의 구조와 기능을 이해하고,호흡 운동의 원리를 나타내는 모형을 만들 수 있다.</x:t>
  </x:si>
  <x:si>
    <x:t>생활자원의 종류와 특성 및 순환과정을 이해하고,의식주 자원관리의 중요성을 인식한다.</x:t>
  </x:si>
  <x:si>
    <x:t>대기 대순환에서 위도별 바람의 특성을 파악하고,대기 대순환의 역할을 설명할 수 있다.</x:t>
  </x:si>
  <x:si>
    <x:t>자신의 독서 상황과 수준에 맞는 글을 선정하고 읽기 과정을 점검⋅조정하며 읽는다.</x:t>
  </x:si>
  <x:si>
    <x:t>서아시아⋅지중해 세계에서 등장한 여러 정치체를 비교하고 종교 및 문화를 탐구한다.</x:t>
  </x:si>
  <x:si>
    <x:t>졸업 이후의 진로 계획을 수립하고 자기 관리 및 진로 준비 방법을 알아보고 실천한다.</x:t>
  </x:si>
  <x:si>
    <x:t>우리 몸의 기능 조절에 호르몬이 관여함을 알고,관련 자료를 조사하여 발표할 수 있다.</x:t>
  </x:si>
  <x:si>
    <x:t>에너지와 관련된 문제를 발견하고 창의적인 해결방안을 탐색하여 실현하고 평가한다.</x:t>
  </x:si>
  <x:si>
    <x:t>민주주의의 발전 과정을 검토하고,이를 토대로 민주주의의 이념과 기본 원리를 도출한다.</x:t>
  </x:si>
  <x:si>
    <x:t>다양한 지리 정보와 매체를 활용하여 북한의 자연환경과 인문환경의 특징을 탐색한다.</x:t>
  </x:si>
  <x:si>
    <x:t>음악적 의도나 아이디어를 여러 매체나 방법에 적용하여 자기 주도적으로 창작한다.</x:t>
  </x:si>
  <x:si>
    <x:t>학교와 지역에서 실천할 수 있는 기후행동을 계획하고 참여하며 그 결과를 성찰한다.</x:t>
  </x:si>
  <x:si>
    <x:t>지구계의 구성 요소를 알고,지권의 층상 구조와 그 특징을 조사⋅발표할 수 있다.</x:t>
  </x:si>
  <x:si>
    <x:t>사례를 중심으로 데이터 간의 관계를 파악하고,데이터에 기반하여 의미를 해석한다.</x:t>
  </x:si>
  <x:si>
    <x:t>현대 표현의 특성과 원리를 반영한 작품을 창작하고 표현 요소를 고려하여 감상한다.</x:t>
  </x:si>
  <x:si>
    <x:t>간단하고 쉬운 글,대화문,디지털 매체상의 자료 등을 읽고 정보 또는 대의를 파악한다.</x:t>
  </x:si>
  <x:si>
    <x:t>낱말이나 간단한 구,간단하고 쉬운 문장,간단하고 쉬운 대화를 듣고 의미를 이해한다.</x:t>
  </x:si>
  <x:si>
    <x:t>낱말의 용법과 기본 어순에 유의하여 상황이나 목적에 맞게 짧고 쉬운 문장을 작성한다.</x:t>
  </x:si>
  <x:si>
    <x:t>낱말이나 간단하고 쉬운 구,문장을 발음⋅강세⋅억양에 유의하여 소리 내어 읽는다.</x:t>
  </x:si>
  <x:si>
    <x:t>체력 운동을 하며 실천 의지와 인내심을 보이고 자기 주도적으로 문제를 해결한다.</x:t>
  </x:si>
  <x:si>
    <x:t>여러 학문 분야의 사례를 중심으로 데이터를 수집⋅분석하여 융합적으로 문제를 해결한다.</x:t>
  </x:si>
  <x:si>
    <x:t>생활환경형 스포츠의 활동 방법을 이해하고 활동 전략을 활용하며 안전하게 경기한다.</x:t>
  </x:si>
  <x:si>
    <x:t>주도적이고 도전적인 태도로 다양한 미술 표현을 실험하고 작품에 적용할 수 있다.</x:t>
  </x:si>
  <x:si>
    <x:t>한자 문화권의 문화에 대한 지식을 익혀 이해와 교류 증진에 참여하려는 태도를 기른다.</x:t>
  </x:si>
  <x:si>
    <x:t>배설계의 구조와 기능을 이해하고,노폐물이 배설되는 과정을 모식도로 표현할 수 있다.</x:t>
  </x:si>
  <x:si>
    <x:t>기본적인 중국 문화 내용을 조사하고 한중 문화를 비교하여 문화적 다양성을 이해한다.</x:t>
  </x:si>
  <x:si>
    <x:t>일상생활과 관련된 간단하고 쉬운 문장이나 의사소통 표현을 경청하고 적절하게 반응한다.</x:t>
  </x:si>
  <x:si>
    <x:t>광합성 과정을 이해하고,환경 요인과 광합성의 관계를 탐구하는 실험을 설계할 수 있다.</x:t>
  </x:si>
  <x:si>
    <x:t>화학 반응에서 열에너지가 출입함을 알고,생활 속 사례를 조사하여 발표할 수 있다.</x:t>
  </x:si>
  <x:si>
    <x:t>[9수02-12] 일차부등식을 풀 수 있고, 이를 활용하여 문제를 해결할 수 있다.</x:t>
  </x:si>
  <x:si>
    <x:t>[9수02-08] 지수법칙을 이해하고, 이를 이용하여 식을 간단히 할 수 있다.</x:t>
  </x:si>
  <x:si>
    <x:t>감각을 활용하여 대상과 현상을 탐색하고 자신과 환경에 대한 감수성을 확장할 수 있다.</x:t>
  </x:si>
  <x:si>
    <x:t>데이터를 순차적으로 저장할 수 있는 구조를 활용하여 문제 해결 프로그램을 작성한다.</x:t>
  </x:si>
  <x:si>
    <x:t>세계 대전 중의 전쟁 범죄를 탐구하고,인권 회복과 평화 실현을 위한 노력을 조사한다.</x:t>
  </x:si>
  <x:si>
    <x:t>글에 사용된 다양한 설명 방법과 논증 방법을 파악하고,그 타당성을 평가하며 읽는다.</x:t>
  </x:si>
  <x:si>
    <x:t>전통 표현의 특성과 원리를 반영한 작품을 창작하고 표현 요소를 고려하여 감상한다.</x:t>
  </x:si>
  <x:si>
    <x:t>다양한 자료를 재구성하여 내용을 체계적으로 조직하고 청중이 이해하기 쉽게 발표한다.</x:t>
  </x:si>
  <x:si>
    <x:t>지각을 이루는 암석을 생성 과정에 따라 분류하고,암석의 순환 과정을 설명할 수 있다.</x:t>
  </x:si>
  <x:si>
    <x:t>말이나 간단한 구,간단하고 쉬운 문장을 발음 규칙에 유의하여 소리 내어 읽는다.</x:t>
  </x:si>
  <x:si>
    <x:t>세계 여러 지역의 특성을 해당 지역의 위치와 자연⋅인문환경을 고려하여 추론한다.</x:t>
  </x:si>
  <x:si>
    <x:t>생활 속 다양한 형태의 연주에 참여하고 전통과 현대의 연주 문화 다양성을 인식한다.</x:t>
  </x:si>
  <x:si>
    <x:t>기체 반응에서 기체 부피 사이의 비가 일정함을 실험 자료를 해석하여 설명할 수 있다.</x:t>
  </x:si>
  <x:si>
    <x:t>건강의 개념과 영향요인,건강관리 모델을 탐구하여 건강을 관리하는 태도를 갖는다.</x:t>
  </x:si>
  <x:si>
    <x:t>다양성 존중과 사회적 소수자 배려를 포함하여 건강지향적 문화와 환경을 지지⋅옹호한다.</x:t>
  </x:si>
  <x:si>
    <x:t>[9수02-09] 다항식의 덧셈과 뺄셈의 원리를 이해하고, 그 계산을 할 수 있다.</x:t>
  </x:si>
  <x:si>
    <x:t>[9수02-18] 두 일차함수의 그래프와 연립일차방정식의 관계를 설명할 수 있다.</x:t>
  </x:si>
  <x:si>
    <x:t xml:space="preserve">[9수02-22] 이차함수의 그래프를 그릴 수 있고, 그 성질을 설명할 수 있다. </x:t>
  </x:si>
  <x:si>
    <x:t>상호문화적 관점에서 한국 문화와 아랍 문화의 공통점과 차이점을 이해하고 표현한다.</x:t>
  </x:si>
  <x:si>
    <x:t>[9수02-20] 이차방정식을 풀 수 있고, 이를 활용하여 문제를 해결할 수 있다.</x:t>
  </x:si>
  <x:si>
    <x:t>[9수02-17] 일차함수와 미지수가 2개인 일차방정식의 관계를 설명할 수 있다.</x:t>
  </x:si>
  <x:si>
    <x:t>다양한 스케일에서 지역이 서로 연계되어 있음을 공간적 상호 작용의 사례를 통해파악한다.</x:t>
  </x:si>
  <x:si>
    <x:t>태평양 지역이 겪고 있는 환경 문제를 조사하고 그 해결에 참여할 수 있는 방안을 제안한다.</x:t>
  </x:si>
  <x:si>
    <x:t>소화계의 구조와 기능을 이해하고,소화 과정을 소화 효소의 작용과 관련지어 추론할 수 있다.</x:t>
  </x:si>
  <x:si>
    <x:t>기체의 온도와 부피 관계를 실험 결과로부터 알아내고,이를 입자 모형으로 해석할 수있다.</x:t>
  </x:si>
  <x:si>
    <x:t>선거의 기능과 기본 원칙을 검토하고,선거 과정에서 유권자와 정당이 수행하는 활동을 조사한다.</x:t>
  </x:si>
  <x:si>
    <x:t>법의 의미와 특징을 설명하고,일상생활에서 접하는 법의 사례를 통해 법의 목적을 도출한다.</x:t>
  </x:si>
  <x:si>
    <x:t>복합양식 자료를 활용하여 내용을 생성하고 글의 유형을 고려하여 내용을 조직하며 글을 쓴다.</x:t>
  </x:si>
  <x:si>
    <x:t>주장을 뒷받침할 수 있는 타당한 근거를 들고 적절한 표현을 사용하여 주장하는 글을 쓴다.</x:t>
  </x:si>
  <x:si>
    <x:t>개체의 생장에 세포분열이 필요한 이유를 세포의 표면적과 부피의 관계로 추론할 수 있다.</x:t>
  </x:si>
  <x:si>
    <x:t>일상생활에서 인권이 침해되는 사례를 조사하고,우리 헌법에 보장된 기본권의종류를 탐색한다.</x:t>
  </x:si>
  <x:si>
    <x:t>지속가능한 사회를 위한 과제를 역사적 맥락에서 탐구하고,과제 해결에 참여하는 자세를갖는다.</x:t>
  </x:si>
  <x:si>
    <x:t>세계의 변화가 지역에 영향을 미치고 지역의 변화가 세계에 영향을 미치는 사례를조사한다.</x:t>
  </x:si>
  <x:si>
    <x:t>냉전의 전개와 제3세계 등장의 상관관계를 이해하고,냉전 이후 국제 질서의 변화를 분석한다.</x:t>
  </x:si>
  <x:si>
    <x:t>일상생활에서 접하는 문화의 사례를 탐색하고,이를 바탕으로 문화의 의미와 특징을도출한다.</x:t>
  </x:si>
  <x:si>
    <x:t>다양한 지리 정보와 매체를 활용하여 우리 지역의 문제를 선정하고 지리적으로 시각화한다.</x:t>
  </x:si>
  <x:si>
    <x:t>청소년 소비자의 특성을 이해하고 소비자 의사 결정 과정을 통한 합리적인 소비생활을 실천한다.</x:t>
  </x:si>
  <x:si>
    <x:t>화합물을 구성하는 성분 원소의 질량비가 일정함을 실험 자료를 해석하여 설명할 수 있다.</x:t>
  </x:si>
  <x:si>
    <x:t>인공지능 학습에서 데이터의 중요성을 이해하고,학습에 필요한 데이터를 수집하여 분류한다.</x:t>
  </x:si>
  <x:si>
    <x:t>송과 몽골 제국 시기 유라시아⋅인도양 교역권의 성장을 경제⋅문화 자료를 통해 탐구한다.</x:t>
  </x:si>
  <x:si>
    <x:t>알짜힘이0이 아닐 때 물체의 운동 상태가 변함을 알고,그 예를 조사하여 분류할 수 있다.</x:t>
  </x:si>
  <x:si>
    <x:t>동작형 스포츠의 경기 방법을 이해하고 경기 전략을 상황에 맞게 활용하며 안전하게 경기한다.</x:t>
  </x:si>
  <x:si>
    <x:t>감각기관의 구조와 기능을 이해하고,실험을 통해 자극이 뇌로 전달되는 과정을 추론할 수 있다.</x:t>
  </x:si>
  <x:si>
    <x:t>[9기가03-06]지식재산권의 종류와 특징을 이해하고,지식재산과 관련한 다양한 사례 조사 및 체험을통해 지식재산권의 창출,보호,활용을 이해하고 실천한다.</x:t>
  </x:si>
  <x:si>
    <x:t>[9기가04-01]건설기술의 개념 및 발달과정,건설 구조물의 종류와 특성을 이해하고,건설 구조물의 혁신사례를 탐구함으로써 건설기술의 중요성을 인식한다.</x:t>
  </x:si>
  <x:si>
    <x:t>[9도03-05]국가와 시민 사이에서 발생하는 윤리적 쟁점들을 탐구하고,국가와 시민 사이의 바람직한관계에 기초하여 국가와 시민의 역할을 재구성할 수 있다.</x:t>
  </x:si>
  <x:si>
    <x:t>[9도03-02]외집단에 대한 편견을 비판적으로 분석하고,타문화⋅타종교⋅타인종을 존중해야 하는 이유에 근거하여 차이와 다양성에 대한 열린 마음을 기른다.</x:t>
  </x:si>
  <x:si>
    <x:t>[9도01-01]자신의 삶과 가치관에 대한 성찰을 통해 자아를 올바로 이해하고,삶에서 도덕이 필요한 이유에 근거하여 도덕적인 삶에 대한 의지를 기른다.</x:t>
  </x:si>
  <x:si>
    <x:t>[9도03-01]인권을 존중해야 하는 도덕적 이유를 정당화하고,인권 침해 사례에 대한 탐구를 통해 그 원인과 해결 방안을 도출함으로써 인권 감수성을 기른다.</x:t>
  </x:si>
  <x:si>
    <x:t xml:space="preserve"> 정비례, 반비례 관계를 이해하고, 그 관계를 표, 식, 그래프로 나타낼 수 있다.</x:t>
  </x:si>
  <x:si>
    <x:t>한자의 모양⋅음⋅뜻을 구별한다.</x:t>
  </x:si>
  <x:si>
    <x:t>간략한 아랍 문화 내용을 이해한다.</x:t>
  </x:si>
  <x:si>
    <x:t>한자가 만들어진 원리를 구별한다.</x:t>
  </x:si>
  <x:si>
    <x:t>대상이나 인물의 감정을 묘사한다.</x:t>
  </x:si>
  <x:si>
    <x:t>단어와 성어를 읽고 풀이한다.</x:t>
  </x:si>
  <x:si>
    <x:t>[9사(일사)12-01]</x:t>
  </x:si>
  <x:si>
    <x:t>[9사(지리)01-03]</x:t>
  </x:si>
  <x:si>
    <x:t>[9사(지리)06-01]</x:t>
  </x:si>
  <x:si>
    <x:t>저항의 직렬연결과 병렬연결의 특징을 비교하고,일상생활에서 전기 에너지가 다양한 형태의 에너지로 전환됨을 소비 전력과 관련지어 설명할 수 있다.</x:t>
  </x:si>
  <x:si>
    <x:t>일상생활 및 가상공간에서 만나는 또래와 건강한 관계를 형성하고,다양한 주변인들과 친밀한 세대 간 관계를 형성하는 방안을 탐색하여 실천한다.</x:t>
  </x:si>
  <x:si>
    <x:t>건강 신념과 규범⋅관행 및 미디어 등이 건강에 미치는 영향을 탐색하고 건강하게 개선하려는태도를 발전시켜 건강관리와 건강문제 해결에 적용한다.</x:t>
  </x:si>
  <x:si>
    <x:t>외집단에 대한 편견을 비판적으로 분석하고,타문화⋅타종교⋅타인종을 존중해야 하는 이유에 근거하여 차이와 다양성에 대한 열린 마음을 기른다.</x:t>
  </x:si>
  <x:si>
    <x:t>원소를 구성하는 입자인 원자는 양성자,중성자,전자로 구성되며,양성자의 수에 따라원소의 종류가 달라짐을 입자 모형을 활용하여 설명할 수 있다.</x:t>
  </x:si>
  <x:si>
    <x:t>국가와 시민 사이에서 발생하는 윤리적 쟁점들을 탐구하고,국가와 시민 사이의 바람직한관계에 기초하여 국가와 시민의 역할을 재구성할 수 있다.</x:t>
  </x:si>
  <x:si>
    <x:t>기술적 문제 해결 과정의 이해를 바탕으로 문제를 확인하고,정보를 수집하며,확산적사고와 수렴적 사고를 통해 해결방안을 탐색하고 대안을 선정한다.</x:t>
  </x:si>
  <x:si>
    <x:t>임신,피임에 대한 이해를 바탕으로 십대의 임신과 미혼 부모 문제가 개인과 사회에 미치는 영향을 분석하고 건강에 유익한 선택과 자원을 지지한다.</x:t>
  </x:si>
  <x:si>
    <x:t>자아 존중감에 대해 이해하고 생활 속에서 자아 존중감을 높이는 상황과 저하시키는 상황을 탐색하여 대처하고 지지하여 건강한 자아상을 추구한다.</x:t>
  </x:si>
  <x:si>
    <x:t>분단이 우리의 일상생활에 미친 영향을 살펴보고,분리와 연결의 공간으로서 접경지역의 다양한 모습을 세계 여러 지역의 사례를 통해 비교한다.</x:t>
  </x:si>
  <x:si>
    <x:t>인권을 존중해야 하는 도덕적 이유를 정당화하고,인권 침해 사례에 대한 탐구를 통해 그 원인과 해결 방안을 도출함으로써 인권 감수성을 기른다.</x:t>
  </x:si>
  <x:si>
    <x:t>[9사(지리)09-01]</x:t>
  </x:si>
  <x:si>
    <x:t>[9사(지리)11-02]</x:t>
  </x:si>
  <x:si>
    <x:t>[9사(일사)11-01]</x:t>
  </x:si>
  <x:si>
    <x:t>[9사(지리)01-01]</x:t>
  </x:si>
  <x:si>
    <x:t>[9사(지리)07-01]</x:t>
  </x:si>
  <x:si>
    <x:t>[9사(지리)04-03]</x:t>
  </x:si>
  <x:si>
    <x:t>[9사(지리)03-02]</x:t>
  </x:si>
  <x:si>
    <x:t>[9사(일사)10-01]</x:t>
  </x:si>
  <x:si>
    <x:t>[9사(일사)11-03]</x:t>
  </x:si>
  <x:si>
    <x:t>[9사(지리)06-03]</x:t>
  </x:si>
  <x:si>
    <x:t>[9사(지리)03-03]</x:t>
  </x:si>
  <x:si>
    <x:t>[9사(지리)12-02]</x:t>
  </x:si>
  <x:si>
    <x:t>[9사(지리)02-02]</x:t>
  </x:si>
  <x:si>
    <x:t>[9사(지리)04-02]</x:t>
  </x:si>
  <x:si>
    <x:t>[9사(일사)11-02]</x:t>
  </x:si>
  <x:si>
    <x:t>[9사(지리)02-04]</x:t>
  </x:si>
  <x:si>
    <x:t>성취기준 코드</x:t>
  </x:si>
  <x:si>
    <x:t>진로와 직업</x:t>
  </x:si>
  <x:si>
    <x:t>생활 중국어</x:t>
  </x:si>
  <x:si>
    <x:t>생활 스페인어</x:t>
  </x:si>
  <x:si>
    <x:t>생활 독일어</x:t>
  </x:si>
  <x:si>
    <x:t>기술가정</x:t>
  </x:si>
  <x:si>
    <x:t>생활 일본어</x:t>
  </x:si>
  <x:si>
    <x:t>생활 아랍어</x:t>
  </x:si>
  <x:si>
    <x:t>생활 베트남어</x:t>
  </x:si>
  <x:si>
    <x:t>생활 러시아어</x:t>
  </x:si>
  <x:si>
    <x:t>[9역11-01]</x:t>
  </x:si>
  <x:si>
    <x:t>[9역11-03]</x:t>
  </x:si>
  <x:si>
    <x:t>[9역08-02]</x:t>
  </x:si>
  <x:si>
    <x:t>[9역08-01]</x:t>
  </x:si>
  <x:si>
    <x:t>[9역10-01]</x:t>
  </x:si>
  <x:si>
    <x:t>[9역11-02]</x:t>
  </x:si>
  <x:si>
    <x:t>[9역10-02]</x:t>
  </x:si>
  <x:si>
    <x:t>[9역09-03]</x:t>
  </x:si>
  <x:si>
    <x:t>설득 전략을 비판적으로 분석하며 듣는다.</x:t>
  </x:si>
  <x:si>
    <x:t>간단한 일기,편지,이메일 등의 글을 쓴다.</x:t>
  </x:si>
  <x:si>
    <x:t>다각형의 성질을 이해하고 설명할 수 있다.</x:t>
  </x:si>
  <x:si>
    <x:t>입체도형의 겉넓이와 부피를 구할 수 있다.</x:t>
  </x:si>
  <x:si>
    <x:t>러시아의 주요 문화 내용을 이해한다.</x:t>
  </x:si>
  <x:si>
    <x:t>베트남 문화에 대해 조사하고 정리한다.</x:t>
  </x:si>
  <x:si>
    <x:t>삼국과 가야의 성장 과정을 파악한다.</x:t>
  </x:si>
  <x:si>
    <x:t>발음 규칙에 유의하여 낱말을 식별한다.</x:t>
  </x:si>
  <x:si>
    <x:t>단어,어구,문장의 함축적 의미를 추론한다.</x:t>
  </x:si>
  <x:si>
    <x:t>발음을 듣고 성모,운모,성조를 변별한다.</x:t>
  </x:si>
  <x:si>
    <x:t>상대방을 배려하는 태도로 말하거나 쓴다.</x:t>
  </x:si>
  <x:si>
    <x:t>통일신라와 발해 문화의 특징을 파악한다.</x:t>
  </x:si>
  <x:si>
    <x:t>글의 내용을 이해하고 주제를 파악한다.</x:t>
  </x:si>
  <x:si>
    <x:t>독일어권 주요 문화 내용을 이해한다.</x:t>
  </x:si>
  <x:si>
    <x:t>스페인어권의 주요 문화 내용을 이해한다.</x:t>
  </x:si>
  <x:si>
    <x:t>화자의 의도와 관점을 추론하며 듣는다.</x:t>
  </x:si>
  <x:si>
    <x:t>[9기가03-04]기술적 문제 해결 방안을 시각화하고 도면을 작성하며,올바른 도구를 선택하여 시제품또는 모형을 제작 및 평가하는 과정에서 협업 능력,공감 능력과 의사소통 능력을 기른다.</x:t>
  </x:si>
  <x:si>
    <x:t>[9환05-03]환경 정의 측면에서 자신이 살고 있는 마을이나 지역에 적용할 수 있는 지속가능한 사회를 위한 개인적⋅사회적 실천 방안을 조사하여 참여해 보고,실천 방안을 평가한다.</x:t>
  </x:si>
  <x:si>
    <x:t>청소년기의 건강한 발달을 위협하는 스트레스,분노,우울 등의 여러 가지 행동 및 심리문제의 원인을 분석하고,적응 유연성을 기를 수 있는 다양한 예방 및 해결방안을 탐색하여 적용한다.</x:t>
  </x:si>
  <x:si>
    <x:t>청소년의 성 건강과 관련하여 사회적 쟁점이 있는 이슈들에 대해 다양한 입장의 근거와 맥락,고정 관념,차별,불평등한 상황을 파악하여 균형 있고 평등한 성문화를 조성하려는 자세를 갖는다.</x:t>
  </x:si>
  <x:si>
    <x:t>[9환03-02]신⋅재생 에너지,핵발전,자원 재활용과 쓰레기 처리 등 에너지 이용 및 자원 순환과 관련된문제를 탐구하는 과정을 계획하여 수행하고,관련된 요소 간의 상호 작용을 분석한다.</x:t>
  </x:si>
  <x:si>
    <x:t>[9도02-03]가상공간과 현실 세계에 대한 비교⋅분석을 바탕으로 가상공간에서 발생하는 도덕 문제들의원인과 해결 방안을 제안하고,타인을 존중하며 가상공간을 활용하는 태도를 함양한다.</x:t>
  </x:si>
  <x:si>
    <x:t>강원⋅충청 지역의 변화를 교통 발달과 수도권과의 관계를 중심으로 파악하고,강원⋅충청 지역의 산업 변화와 지역경제 활성화를 위한 노력을 조사한다.</x:t>
  </x:si>
  <x:si>
    <x:t>내면에 대한 성찰을 통해 심리적 고통과 불안,우울감 등의 원인을 찾고,마음의 평온을 얻을 수 있는 방안들을 다각적으로 모색하여 실천할 수 있다.</x:t>
  </x:si>
  <x:si>
    <x:t>현대 과학기술과 관련된 윤리적 쟁점의 분석을 통해 과학기술의 유용성과 한계를 인식하고,과학기술의 바람직한 활용에 관한 관심과 책임 의식을 기른다.</x:t>
  </x:si>
  <x:si>
    <x:t>발명의 개념을 이해하고,발명 문제 해결 과정을 바탕으로 발명 활동을 체험하여 창조에대한 자신감을 갖고 발명이 사회에 미친 영향과 가치를 인식한다.</x:t>
  </x:si>
  <x:si>
    <x:t>의생활,식생활이 청소년기 성장과 건강에 미치는 영향을 탐색하고 성장과 건강을 위해 바람직한 의생활과 식생활의 실천 방안을 탐색하여 이를 실천한다.</x:t>
  </x:si>
  <x:si>
    <x:t>우리나라 자연재해의 지리적 특성과 피해 최소화를 위한 노력을 파악하고,일상생활 속 다양한 상황에서 자연재해 발생 시 자신의 대처 방안을 탐색한다.</x:t>
  </x:si>
  <x:si>
    <x:t>인간을 관계적 존재로 해석할 수 있는 이유에 근거하여 타인과의 관계에서 필요한 가치⋅덕목을 탐구하고,타인의 생각과 감정에 공감하는 태도를 기른다.</x:t>
  </x:si>
  <x:si>
    <x:t>자아 존중감을 향상시키고 긍정적인 자아 정체성을 형성하기 위해 청소년기의 발달 특징을 자신의 발달 특징과 연결 지어 자신을 총체적으로 이해한다.</x:t>
  </x:si>
  <x:si>
    <x:t>인간 이외의 생명체를 도덕적으로 고려해야 하는 이유를 정당화하고,생명을 가진 존재들이 겪는 고통에 공감하며 생명을 소중히 여기는 태도를 기른다.</x:t>
  </x:si>
  <x:si>
    <x:t>지속가능한 발전을 위한 아프리카 각 지역의 노력과 세계 다양한 주체들의 협력 사례를 조사하고,세계시민으로서 우리가 참여할 수 있는 방안을 모색한다.</x:t>
  </x:si>
  <x:si>
    <x:t>정서적,배려적 공동체로서 가정의 특성과 도덕적 기능을 파악하고,가정에서 발생하는 갈등을 공감적인 소통과 민주적인 과정을 통해 해소하는 의지를 기른다.</x:t>
  </x:si>
  <x:si>
    <x:t>더 나은 지역을 만들어 가는 사람들의 노력을 국내외 사례를 통해 살펴보고,자신이 사는 지역의 문제를 해결하기 위한 방안을 모색하고 이를 실천한다.</x:t>
  </x:si>
  <x:si>
    <x:t>일상생활이 환경에 미치는 영향과 환경이 일상생활에 미치는 영향을 조사하여 인간과 환경의관계를 탐색하고,환경에 대한 우리의 역할과 책임을 인식한다.</x:t>
  </x:si>
  <x:si>
    <x:t>우리나라 주요 식량 자원 및 에너지 자원의 소비 현황과 수입국 현황을 분석하여 이와 관련된 문제를 파악하고,자원의 지속가능한 확보 방안을 모색한다.</x:t>
  </x:si>
  <x:si>
    <x:t>자연에 대한 동양과 서양의 주요 입장들을 토대로 인간과 자연의 바람직한 관계를 도출하고,환경 위기에 대한 윤리적 책임을 구체화하여 실천할 수 있다.</x:t>
  </x:si>
  <x:si>
    <x:t>작품에 반영된 사회⋅문화적 상황을 이해하며 작품을 감상한다.</x:t>
  </x:si>
  <x:si>
    <x:t>지수법칙을 이해하고,이를 이용하여 식을 간단히 할 수 있다.</x:t>
  </x:si>
  <x:si>
    <x:t>러시아의 주요 문화 내용을 러시아어 의사소통 상황에 활용한다.</x:t>
  </x:si>
  <x:si>
    <x:t>소인수분해를 이용하여 최대공약수와 최소공배수를 구할 수 있다.</x:t>
  </x:si>
  <x:si>
    <x:t>무리수의 개념을 이해하고,무리수의 유용성을 인식할 수 있다.</x:t>
  </x:si>
  <x:si>
    <x:t>복합양식성을 고려하여 영상 매체 자료를 제작하고 공유한다.</x:t>
  </x:si>
  <x:si>
    <x:t>발음 규칙에 유의하여 낱말,간단하고 쉬운 구나 문장을 말한다.</x:t>
  </x:si>
  <x:si>
    <x:t>발음 규칙에 유의하여 듣고 자음과 모음,소리와 철자를 식별한다.</x:t>
  </x:si>
  <x:si>
    <x:t>낱말이나 간단하고 쉬운 구,문장을 철자와 성조에 유의하여 쓴다.</x:t>
  </x:si>
  <x:si>
    <x:t>상대방을 존중하는 태도로 말하기 활동에 적극적으로 참여한다.</x:t>
  </x:si>
  <x:si>
    <x:t>낱말,간단하고 쉬운 구,문장,대화를 듣고 의미를 이해한다.</x:t>
  </x:si>
  <x:si>
    <x:t>매체 자료의 재현 방식을 이해하고 광고나 홍보물을 분석한다.</x:t>
  </x:si>
  <x:si>
    <x:t>일차방정식을 풀 수 있고,이를 활용하여 문제를 해결할 수 있다.</x:t>
  </x:si>
  <x:si>
    <x:t>보는 이나 말하는 이의 특성과 효과를 파악하며 작품을 감상한다.</x:t>
  </x:si>
  <x:si>
    <x:t>일차식의 덧셈과 뺄셈의 원리를 이해하고,그 계산을 할 수 있다.</x:t>
  </x:si>
  <x:si>
    <x:t>방정식과 그 해의 뜻을 알고,등식의 성질을 설명할 수 있다.</x:t>
  </x:si>
  <x:si>
    <x:t>창업의 특성과 창업가 정신을 이해하고 그 중요성을 인식한다.</x:t>
  </x:si>
  <x:si>
    <x:t>간단하고 쉬운 글이나 대화문을 읽고 핵심어나 대의를 파악한다.</x:t>
  </x:si>
  <x:si>
    <x:t>확률의 개념과 그 기본 성질을 이해하고,확률을 구할 수 있다.</x:t>
  </x:si>
  <x:si>
    <x:t>사림 세력의 성장이 성리학적 질서 확산에 끼친 영향을 추론한다.</x:t>
  </x:si>
  <x:si>
    <x:t>문장의 짜임을 이해하고 표현 효과를 고려하여 문장을 구성한다.</x:t>
  </x:si>
  <x:si>
    <x:t>인간의 성장을 다룬 작품을 읽으며 문학의 가치를 내면화한다.</x:t>
  </x:si>
  <x:si>
    <x:t>낱말이나 간단하고 쉬운 의사소통 표현을 상황에 맞게 말한다.</x:t>
  </x:si>
  <x:si>
    <x:t>[9과14-04]자기장 안에 놓인 전류가 흐르는 코일이 받는 힘의 특성을 추리하고,전동기 등 일상생활에서 활용한 예를 찾을 수 있다.</x:t>
  </x:si>
  <x:si>
    <x:t>[9기가04-08]다양한 기계요소와 동력 전달 방법을 활용하여 주어진 문제를 해결할 수 있는 운동물체를 안전하게 제작하고 평가한다.</x:t>
  </x:si>
  <x:si>
    <x:t>[9과19-04]물체의 운동에서 역학적 에너지의 전환과 보존을 이해하고,이를 활용하여 일상생활 속 물체의 운동을 예측할 수 있다.</x:t>
  </x:si>
  <x:si>
    <x:t>[9과21-04]멘델 유전 실험의 의의와 원리를 이해하고,멘델 유전 원리가 적용되는 유전 현상을 조사하여협력적으로 소통할 수 있다.</x:t>
  </x:si>
  <x:si>
    <x:t>베트남 문화 내용을 베트남어 의사소통 상황에 활용한다.</x:t>
  </x:si>
  <x:si>
    <x:t>낱말이나 간단하고 쉬운 구,문장을 듣고 의미를 파악한다.</x:t>
  </x:si>
  <x:si>
    <x:t>낱말이나 간단하고 쉬운 구,문장을 읽고 의미를 파악한다.</x:t>
  </x:si>
  <x:si>
    <x:t>간단하고 쉬운 글이나 대화문을 상황과 어법에 맞게 쓴다.</x:t>
  </x:si>
  <x:si>
    <x:t>간단하고 쉬운 문장을 상황과 목적에 맞게 작성한다.</x:t>
  </x:si>
  <x:si>
    <x:t>품사의 종류와 특성을 이해하고 국어 자료를 분석한다.</x:t>
  </x:si>
  <x:si>
    <x:t>삼각비의 뜻을 알고,간단한 삼각비의 값을 구할 수 있다.</x:t>
  </x:si>
  <x:si>
    <x:t>갈등의 진행과 해결 과정을 파악하며 작품을 감상한다.</x:t>
  </x:si>
  <x:si>
    <x:t>통일신라와 발해의 국가 체제 정비와 변동을 분석한다.</x:t>
  </x:si>
  <x:si>
    <x:t>한국의 민주화 과정에서 나타난 성과와 과제를 탐구한다.</x:t>
  </x:si>
  <x:si>
    <x:t>대상의 특성에 적합한 설명 방법을 활용하여 글을 쓴다.</x:t>
  </x:si>
  <x:si>
    <x:t>분산과 표준편차를 구하고 자료의 분포를 설명할 수 있다.</x:t>
  </x:si>
  <x:si>
    <x:t>자신의 경험을 개성적인 발상과 표현으로 형상화한다.</x:t>
  </x:si>
  <x:si>
    <x:t>조선 성립의 의의를 통치 체제의 특징을 통해 파악한다.</x:t>
  </x:si>
  <x:si>
    <x:t>다양한 자료와 사례를 통해 역사 탐구 방법을 익힌다.</x:t>
  </x:si>
  <x:si>
    <x:t>순서쌍과 좌표를 이해하고,그 편리함을 인식할 수 있다.</x:t>
  </x:si>
  <x:si>
    <x:t>자료를 산점도로 나타내고 상관관계를 말할 수 있다.</x:t>
  </x:si>
  <x:si>
    <x:t>단어의 짜임을 분석하여 새말 형성의 원리를 이해한다.</x:t>
  </x:si>
  <x:si>
    <x:t>단어,어구,문장을 듣고 연음이나 축약된 소리를 식별한다.</x:t>
  </x:si>
  <x:si>
    <x:t>삼각비를 활용하여 여러 가지 문제를 해결할 수 있다.</x:t>
  </x:si>
  <x:si>
    <x:t>음악을 듣고 다양한 음악 요소에 집중하여 분석한다.</x:t>
  </x:si>
  <x:si>
    <x:t>전통 표현의 원리를 적용하여 동작을 심미적으로 표현한다.</x:t>
  </x:si>
  <x:si>
    <x:t>개항 이후 근대 국가를 건설하기 위한 노력을 파악한다.</x:t>
  </x:si>
  <x:si>
    <x:t>자연환경형 스포츠의 역사와 특성을 탐색하고 비교한다.</x:t>
  </x:si>
  <x:si>
    <x:t>자신의 체력 수준에 맞는 체력 증진 운동을 실천한다.</x:t>
  </x:si>
  <x:si>
    <x:t>상대방을 존중하며 말하기 활동에 적극적으로 참여한다.</x:t>
  </x:si>
  <x:si>
    <x:t>문제의 상태를 정의하고 수행 가능한 형태로 구조화한다.</x:t>
  </x:si>
  <x:si>
    <x:t>오늘날 세계화의 양상을 조사하고,성과와 과제를 탐구한다.</x:t>
  </x:si>
  <x:si>
    <x:t>소인수분해의 뜻을 알고,자연수를 소인수분해 할 수 있다.</x:t>
  </x:si>
  <x:si>
    <x:t>대중매체와 개인 인터넷 방송의 특성과 영향력을 비교한다.</x:t>
  </x:si>
  <x:si>
    <x:t>생활환경형 스포츠의 역사와 특성을 탐색하고 비교한다.</x:t>
  </x:si>
  <x:si>
    <x:t>친숙한 주제에 관한 담화나 글의 중심 내용을 파악한다.</x:t>
  </x:si>
  <x:si>
    <x:t>간단하고 쉬운 말이나 대화를 듣고 내용을 이해한다.</x:t>
  </x:si>
  <x:si>
    <x:t>낱말이나 간단한 구를 듣고 소리와 낱말을 식별한다.</x:t>
  </x:si>
  <x:si>
    <x:t>타인을 존중하며 말하기 활동에 적극적으로 참여한다.</x:t>
  </x:si>
  <x:si>
    <x:t>낱말,간단하고 쉬운 구와 문장을 듣고 의미를 이해한다.</x:t>
  </x:si>
  <x:si>
    <x:t>간단하고 쉬운 의사소통 표현을 상황에 맞게 말한다.</x:t>
  </x:si>
  <x:si>
    <x:t>현대 표현의 원리를 적용하여 동작을 심미적으로 표현한다.</x:t>
  </x:si>
  <x:si>
    <x:t>간단하고 쉬운 구나 문장을 표기법과 어법에 맞게 쓴다.</x:t>
  </x:si>
  <x:si>
    <x:t>친숙한 주제에 관한 담화나 글에서 세부 정보를 파악한다.</x:t>
  </x:si>
  <x:si>
    <x:t>매체를 활용하여 스페인어권의 주요 문화 내용을 설명한다.</x:t>
  </x:si>
  <x:si>
    <x:t>일본 문화 내용을 조사⋅정리하여 보고서를 작성한다.</x:t>
  </x:si>
  <x:si>
    <x:t>글쓰기에 흥미를 갖고 쓰기 활동에 적극적으로 참여한다.</x:t>
  </x:si>
  <x:si>
    <x:t>상대방의 말을 존중하며 대화에 적극적으로 참여한다.</x:t>
  </x:si>
  <x:si>
    <x:t>간단하고 쉬운 대화나 독백을 듣고 내용을 파악한다.</x:t>
  </x:si>
  <x:si>
    <x:t>낱말,간단하고 쉬운 구나 문장을 읽고 의미를 이해한다.</x:t>
  </x:si>
  <x:si>
    <x:t>낱말이나 간단하고 쉬운 구,문장을 읽고 의미를 이해한다.</x:t>
  </x:si>
  <x:si>
    <x:t>모형을 이용하여 우주가 팽창하고 있음을 설명할 수 있다.</x:t>
  </x:si>
  <x:si>
    <x:t>낱말이나 간단하고 쉬운 구,문장을 어법에 맞게 쓴다.</x:t>
  </x:si>
  <x:si>
    <x:t>한어병음이나 기초적인 한자를 식별하고 소리 내어 읽는다.</x:t>
  </x:si>
  <x:si>
    <x:t>간략한 아랍 문화 내용을 의사소통 상황에 활용한다.</x:t>
  </x:si>
  <x:si>
    <x:t>간단하고 쉬운 구나 문장으로 상황을 묘사하거나 설명한다.</x:t>
  </x:si>
  <x:si>
    <x:t>낱말,간단하고 쉬운 구나 문장을 어법에 맞게 쓴다.</x:t>
  </x:si>
  <x:si>
    <x:t>음성적 특징에 유의하여 듣고 문자와 낱말을 식별한다.</x:t>
  </x:si>
  <x:si>
    <x:t>간단하고 쉬운 대화문이나 텍스트를 읽고 정보를 파악한다.</x:t>
  </x:si>
  <x:si>
    <x:t>낱말이나 간단하고 쉬운 구⋅문장을 듣고 의미를 이해한다.</x:t>
  </x:si>
  <x:si>
    <x:t>[9사(지리)08-03]</x:t>
  </x:si>
  <x:si>
    <x:t>[9사(지리)11-03]</x:t>
  </x:si>
  <x:si>
    <x:t>[9사(지리)12-01]</x:t>
  </x:si>
  <x:si>
    <x:t>단어의 짜임을 구별한다.</x:t>
  </x:si>
  <x:si>
    <x:t>[9사(지리)07-03]</x:t>
  </x:si>
  <x:si>
    <x:t>[9사(일사)07-01]</x:t>
  </x:si>
  <x:si>
    <x:t>문장의 구조를 구별한다.</x:t>
  </x:si>
  <x:si>
    <x:t>가나와 낱말을 바르게 쓴다.</x:t>
  </x:si>
  <x:si>
    <x:t>[9사(지리)09-04]</x:t>
  </x:si>
  <x:si>
    <x:t>[9사(지리)11-01]</x:t>
  </x:si>
  <x:si>
    <x:t>[9사(지리)09-02]</x:t>
  </x:si>
  <x:si>
    <x:t>[9사(일사)04-01]</x:t>
  </x:si>
  <x:si>
    <x:t>[9사(일사)08-03]</x:t>
  </x:si>
  <x:si>
    <x:t>[9사(일사)03-01]</x:t>
  </x:si>
  <x:si>
    <x:t>[9사(지리)10-01]</x:t>
  </x:si>
  <x:si>
    <x:t>[9사(일사)08-01]</x:t>
  </x:si>
  <x:si>
    <x:t>글을 의미에 맞게 읽는다.</x:t>
  </x:si>
  <x:si>
    <x:t>[9사(지리)07-02]</x:t>
  </x:si>
  <x:si>
    <x:t>[9사(지리)10-03]</x:t>
  </x:si>
  <x:si>
    <x:t>[9사(지리)08-02]</x:t>
  </x:si>
  <x:si>
    <x:t>[9사(지리)09-03]</x:t>
  </x:si>
  <x:si>
    <x:t>일본 문화 내용을 이해한다.</x:t>
  </x:si>
  <x:si>
    <x:t>[9사(지리)10-02]</x:t>
  </x:si>
  <x:si>
    <x:t>경우의 수를 구할 수 있다.</x:t>
  </x:si>
  <x:si>
    <x:t>[9사(지리)08-01]</x:t>
  </x:si>
  <x:si>
    <x:t>[9사(일사)07-02]</x:t>
  </x:si>
  <x:si>
    <x:t>[9사(일사)01-03]</x:t>
  </x:si>
  <x:si>
    <x:t>[9사(일사)01-02]</x:t>
  </x:si>
  <x:si>
    <x:t>[9사(일사)05-01]</x:t>
  </x:si>
  <x:si>
    <x:t>[9사(일사)04-02]</x:t>
  </x:si>
  <x:si>
    <x:t>글을 바르게 풀이한다.</x:t>
  </x:si>
  <x:si>
    <x:t>[9사(지리)12-03]</x:t>
  </x:si>
  <x:si>
    <x:t>[9사(지리)01-02]</x:t>
  </x:si>
  <x:si>
    <x:t>[9사(일사)04-03]</x:t>
  </x:si>
  <x:si>
    <x:t>[9사(일사)02-03]</x:t>
  </x:si>
  <x:si>
    <x:t>[9사(일사)10-02]</x:t>
  </x:si>
  <x:si>
    <x:t>[9사(일사)05-02]</x:t>
  </x:si>
  <x:si>
    <x:t>[9사(일사)03-03]</x:t>
  </x:si>
  <x:si>
    <x:t>[9사(일사)05-03]</x:t>
  </x:si>
  <x:si>
    <x:t>[9사(일사)07-03]</x:t>
  </x:si>
  <x:si>
    <x:t>[9사(일사)08-02]</x:t>
  </x:si>
  <x:si>
    <x:t>[9사(일사)02-02]</x:t>
  </x:si>
  <x:si>
    <x:t>[9사(일사)06-01]</x:t>
  </x:si>
  <x:si>
    <x:t>[9사(일사)02-01]</x:t>
  </x:si>
  <x:si>
    <x:t>[9사(일사)06-02]</x:t>
  </x:si>
  <x:si>
    <x:t>[9사(지리)06-02]</x:t>
  </x:si>
  <x:si>
    <x:t>[9사(일사)12-03]</x:t>
  </x:si>
  <x:si>
    <x:t>[9사(일사)03-02]</x:t>
  </x:si>
  <x:si>
    <x:t>[9사(일사)12-02]</x:t>
  </x:si>
  <x:si>
    <x:t>[9사(일사)09-02]</x:t>
  </x:si>
  <x:si>
    <x:t>[9사(지리)03-01]</x:t>
  </x:si>
  <x:si>
    <x:t>[9사(일사)01-01]</x:t>
  </x:si>
  <x:si>
    <x:t>[9사(일사)06-03]</x:t>
  </x:si>
  <x:si>
    <x:t>부채꼴의 중심각과 호의 관계를 이해하고,이를 이용하여 부채꼴의 호의 길이와 넓이를 구할 수 있다.</x:t>
  </x:si>
  <x:si>
    <x:t>태양의 표면과 대기에서 일어나는 현상을 알고,태양의 활동이 지구에 미치는 영향을 추론할 수 있다.</x:t>
  </x:si>
  <x:si>
    <x:t>오늘날의 주요한 사회문제를 조사하고,이러한 사회문제가 우리 생활에 미치는영향에 대해 토의한다.</x:t>
  </x:si>
  <x:si>
    <x:t>수요 법칙과 공급 법칙을 사례를 통해 도출하고,이를 토대로 시장 가격이 결정되는원리를 설명한다.</x:t>
  </x:si>
  <x:si>
    <x:t>시장경제에서 기업의 역할과 사회적 책임을 설명하고,우리 사회에 필요한 기업가정신에 대해 토의한다.</x:t>
  </x:si>
  <x:si>
    <x:t>의견 차이가 있는 사안에 대해 자료를 수집하고 사회⋅문화적 맥락을 고려하며 주장하는 글을 쓴다.</x:t>
  </x:si>
  <x:si>
    <x:t>우리나라 행정구역과 주요 도시의 위치를 파악하고,자신이 살고 있는 곳의 장소성과장소감을 표현한다.</x:t>
  </x:si>
  <x:si>
    <x:t>언어 공동체의 구성원인 필자로서 자신에 대해 성찰하며,윤리적 소통 문화를 형성하는데에 기여한다.</x:t>
  </x:si>
  <x:si>
    <x:t>다양한 지리 정보와 매체를 활용하여 중부 지역의 지리적 특성 및 매력적인 여행 장소들을 탐색한다.</x:t>
  </x:si>
  <x:si>
    <x:t>중국과 인도의 정치적 변화와 종교⋅사상 성립의 관계를 이해하고,유라시아의 상호 교류를 탐색한다.</x:t>
  </x:si>
  <x:si>
    <x:t>건강에 대한 사회적 지지의 중요성을 인식하고 개인과 공동체의 건강옹호활동을 협력적으로탐색한다.</x:t>
  </x:si>
  <x:si>
    <x:t>다양한 지리 정보와 매체를 활용하여 남부 지역의 지리적 특성 및 매력적인 여행 장소들을 탐색한다.</x:t>
  </x:si>
  <x:si>
    <x:t>국제 사회를 구성하는 여러 행위 주체의 활동을 조사하고,이를 토대로 국제 사회의특징을 도출한다.</x:t>
  </x:si>
  <x:si>
    <x:t>기본권 제한의 요건과 한계가 헌법에 명시된 이유를 토의하고,기본권 침해 시 구제방법을 조사한다.</x:t>
  </x:si>
  <x:si>
    <x:t>시장경제에서 수요와 공급을 변화시키는 요인을 조사하고,시장 가격의 변동에 대응하는 방안을 계획한다.</x:t>
  </x:si>
  <x:si>
    <x:t>세포는 생명 활동이 일어나는 기본 단위임을 이해하고,세포의 구조와 기능의 관계를 추론할 수 있다.</x:t>
  </x:si>
  <x:si>
    <x:t>복합양식으로 구성된 글이나 자료의 내용 타당성과 신뢰성,표현 방법의 적절성을 평가하며 읽는다.</x:t>
  </x:si>
  <x:si>
    <x:t>기압,기단,전선의 개념을 이해하고,일기도에서 저기압과 고기압의 분포에 따른 날씨를 해석할 수 있다.</x:t>
  </x:si>
  <x:si>
    <x:t>글로컬 관점에서 아시아의 산업 특징과 변화를 파악하고,이것이 우리나라 산업에미치는 영향을 탐색한다.</x:t>
  </x:si>
  <x:si>
    <x:t>[9수02-07] 정비례, 반비례 관계를 이해하고, 그 관계를 표, 식, 그래프로 나타낼 수 있다.</x:t>
  </x:si>
  <x:si>
    <x:t>[9수02-16] 일차함수의 그래프의 성질을 이해하고, 이를 활용하여 문제를 해결할 수 있다.</x:t>
  </x:si>
  <x:si>
    <x:t>[9국03-03]</x:t>
  </x:si>
  <x:si>
    <x:t>[9국02-04]</x:t>
  </x:si>
  <x:si>
    <x:t>[9국01-09]</x:t>
  </x:si>
  <x:si>
    <x:t>[9국01-06]</x:t>
  </x:si>
  <x:si>
    <x:t>[9국01-02]</x:t>
  </x:si>
  <x:si>
    <x:t>[9국03-02]</x:t>
  </x:si>
  <x:si>
    <x:t>[9국03-01]</x:t>
  </x:si>
  <x:si>
    <x:t>[9국02-03]</x:t>
  </x:si>
  <x:si>
    <x:t>[9국02-01]</x:t>
  </x:si>
  <x:si>
    <x:t>[9국01-01]</x:t>
  </x:si>
  <x:si>
    <x:t>[9국04-03]</x:t>
  </x:si>
  <x:si>
    <x:t>[9국02-02]</x:t>
  </x:si>
  <x:si>
    <x:t>[9국02-07]</x:t>
  </x:si>
  <x:si>
    <x:t>[9국01-07]</x:t>
  </x:si>
  <x:si>
    <x:t>[9국02-08]</x:t>
  </x:si>
  <x:si>
    <x:t>[9국02-06]</x:t>
  </x:si>
  <x:si>
    <x:t>[9국01-10]</x:t>
  </x:si>
  <x:si>
    <x:t>[9국05-05]</x:t>
  </x:si>
  <x:si>
    <x:t>[9국04-01]</x:t>
  </x:si>
  <x:si>
    <x:t>[9국03-05]</x:t>
  </x:si>
  <x:si>
    <x:t>[9국03-04]</x:t>
  </x:si>
  <x:si>
    <x:t>[9국03-07]</x:t>
  </x:si>
  <x:si>
    <x:t>[9국03-06]</x:t>
  </x:si>
  <x:si>
    <x:t>[9국02-05]</x:t>
  </x:si>
  <x:si>
    <x:t>[9국01-11]</x:t>
  </x:si>
  <x:si>
    <x:t>[9국04-02]</x:t>
  </x:si>
  <x:si>
    <x:t>[9국03-09]</x:t>
  </x:si>
  <x:si>
    <x:t>[9국04-08]</x:t>
  </x:si>
  <x:si>
    <x:t>[9국05-01]</x:t>
  </x:si>
  <x:si>
    <x:t>[9국01-08]</x:t>
  </x:si>
  <x:si>
    <x:t>[9국03-08]</x:t>
  </x:si>
  <x:si>
    <x:t>[9국04-04]</x:t>
  </x:si>
  <x:si>
    <x:t>중국 문화를 직간접적으로 체험하고,다양한 매체를 활용하여 정보를 공유한다.</x:t>
  </x:si>
  <x:si>
    <x:t>미술 표현 과정에서의 경험을 성찰하고 삶의 문제 해결에 활용할 수 있다.</x:t>
  </x:si>
  <x:si>
    <x:t>순환계의 구조와 기능을 이해하고,혈액의 순환 경로를 종합하여 발표할 수 있다.</x:t>
  </x:si>
  <x:si>
    <x:t>일상생활에서 접하는 친숙한 대상이나 상황에 대해 간단히 묘사하거나 설명한다.</x:t>
  </x:si>
  <x:si>
    <x:t>쓰기 과정과 전략을 점검⋅조정하며 글을 쓰고,독자를 고려하여 글을 고쳐 쓴다.</x:t>
  </x:si>
  <x:si>
    <x:t>공학 도구를 이용하여 자료를 상자그림으로 나타내고 분포를 비교할 수 있다.</x:t>
  </x:si>
  <x:si>
    <x:t>글에 담긴 선인들의 지혜를 이해하여 미래 사회에 필요한 인성을 함양한다.</x:t>
  </x:si>
  <x:si>
    <x:t>적절한 전략을 활용하여 다양한 매체로 표현된 담화나 글을 듣거나 읽는다.</x:t>
  </x:si>
  <x:si>
    <x:t>자신의 관심사에 관한 다양한 담화나 글을 선택하여 적극적으로 듣거나 읽는다.</x:t>
  </x:si>
  <x:si>
    <x:t>설계의 가치와 필요성을 인식하고,제도의 기본 통칙에 따라 도면을 작성한다.</x:t>
  </x:si>
  <x:si>
    <x:t>개인과 가족의 영양 요구와 지속가능성을 충족하는 식사를 계획하고 조리한다.</x:t>
  </x:si>
  <x:si>
    <x:t>정비례,반비례 관계를 이해하고,그 관계를 표,식,그래프로 나타낼 수 있다.</x:t>
  </x:si>
  <x:si>
    <x:t>과학적 원리를 이용하여 재해⋅재난에 대한 대비 및 대처 방안을 세울 수 있다.</x:t>
  </x:si>
  <x:si>
    <x:t>친숙한 주제에 관한 담화나 글에서 일이나 사건의 논리적 관계를 파악한다.</x:t>
  </x:si>
  <x:si>
    <x:t>글에 담긴 전통문화의 의미와 가치를 알고 소중하게 여기는 태도를 기른다.</x:t>
  </x:si>
  <x:si>
    <x:t>삶과 미술의 관계를 이해하고 다양한 분야와의 연결 방안을 모색할 수 있다.</x:t>
  </x:si>
  <x:si>
    <x:t>친숙한 주제에 관한 담화나 글에서 화자나 필자의 의도나 목적을 추론한다.</x:t>
  </x:si>
  <x:si>
    <x:t>알고리즘의 중요성을 이해하고,문제를 해결하는 다양한 알고리즘을 비교⋅분석한다.</x:t>
  </x:si>
  <x:si>
    <x:t>기초적인 낱말,구,간단하고 쉬운 문장을 발음에 유의하여 읽고 의미를 파악한다.</x:t>
  </x:si>
  <x:si>
    <x:t>한국인 영양소 섭취기준과 식사구성안을 바탕으로 균형 잡힌 식사를 계획한다.</x:t>
  </x:si>
  <x:si>
    <x:t>작품의 내용과 형식을 분석하고 미술 용어와 지식을 활용하여 설명할 수 있다.</x:t>
  </x:si>
  <x:si>
    <x:t>자신과 타인의 작품을 존중하며,다양한 방법으로 공유하고 소통할 수 있다.</x:t>
  </x:si>
  <x:si>
    <x:t>사법기관으로서 법원의 역할을 검토하고,헌법재판소의 성격에 대해 토의한다.</x:t>
  </x:si>
  <x:si>
    <x:t>문제 해결 목적에 맞는 피지컬 컴퓨팅 구성요소를 선택하여 시스템을 구상한다.</x:t>
  </x:si>
  <x:si>
    <x:t>우리은하의 구조와 크기를 이해하고,성운과 성단의 특징을 비교할 수 있다.</x:t>
  </x:si>
  <x:si>
    <x:t>풍화 과정을 이해하고,토양 생성 과정을 풍화 작용의 예로 설명할 수 있다.</x:t>
  </x:si>
  <x:si>
    <x:t>컴퓨팅 시스템의 구성요소와 동작 원리를 이해하고,운영 체제의 기능을 분석한다.</x:t>
  </x:si>
  <x:si>
    <x:t>발음을 듣고 따라 말하거나 기초적인 의사소통 표현을 발음에 유의하여 말한다.</x:t>
  </x:si>
  <x:si>
    <x:t>원소와 화합물의 정의를 알고,원소와 화합물을 화학식으로 표현할 수 있다.</x:t>
  </x:si>
  <x:si>
    <x:t>수⋅당 시기 동아시아 국제 질서의 특징을 이해하고,동아시아 문화를 탐구한다.</x:t>
  </x:si>
  <x:si>
    <x:t>역사와 역사 탐구의 의미를 파악하고,역사 학습의 목적을 다각도로 탐색한다.</x:t>
  </x:si>
  <x:si>
    <x:t>해수의 수온과 염분의 분포 및 변화를 해석하여 해수의 특성을 설명할 수 있다.</x:t>
  </x:si>
  <x:si>
    <x:t>물질의 특성을 근거로 우리 주변의 물질을 순물질과 혼합물로 분류할 수 있다.</x:t>
  </x:si>
  <x:si>
    <x:t>중국 문화에 대해 호기심을 갖고 수업이나 과제 활동에 적극적으로 참여한다.</x:t>
  </x:si>
  <x:si>
    <x:t>필드형 스포츠의 경기 방법을 이해하고 경기 전략을 활용하며 안전하게 경기한다.</x:t>
  </x:si>
  <x:si>
    <x:t>물질의 세 가지 상태의 특징을 설명하고,이를 입자 모형으로 표현할 수 있다.</x:t>
  </x:si>
  <x:si>
    <x:t>여러 가지 물질의 상태 변화를 관찰하고,이를 입자 모형으로 설명할 수 있다.</x:t>
  </x:si>
  <x:si>
    <x:t>달을 관측하여 달의 위상변화 원리를 이해하고,일식과 월식을 설명할 수 있다.</x:t>
  </x:si>
  <x:si>
    <x:t>사례를 중심으로 문제 해결에 적합한 전략을 선택하여 알고리즘을 설계한다.</x:t>
  </x:si>
  <x:si>
    <x:t>후삼국 통일과 체제 정비 과정을 통해 고려 성립의 역사적 의미를 탐색한다.</x:t>
  </x:si>
  <x:si>
    <x:t xml:space="preserve"> 20세기 전반 세계 질서의 변화를 두 차례의 세계 대전을 중심으로 파악한다.</x:t>
  </x:si>
  <x:si>
    <x:t>생물의 유기적 구성 단계를 이해하고,동물과 식물을 비교하여 분석할 수 있다.</x:t>
  </x:si>
  <x:si>
    <x:t>관심 진로 분야의 다양한 진로 경로를 탐색하고 자신의 진로 경로를 설정한다.</x:t>
  </x:si>
  <x:si>
    <x:t>기초적인 낱말이나 구,간단하고 쉬운 문장을 활용하여 질문하거나 대답한다.</x:t>
  </x:si>
  <x:si>
    <x:t>건강한 수면,식습관,신체활동에 대해 알아보고 건강생활습관을 계획하고 실천한다.</x:t>
  </x:si>
  <x:si>
    <x:t>일상생활과 관련된 간단하고 쉬운 글이나 대화를 듣고 주요 정보를 파악한다.</x:t>
  </x:si>
  <x:si>
    <x:t>베트남의 개관 및 생활 문화,언어문화,전통문화,예술 문화 등에 대해 이해한다.</x:t>
  </x:si>
  <x:si>
    <x:t>영역형 스포츠의 경기 방법을 이해하고 경기 전략을 활용하며 안전하게 경기한다.</x:t>
  </x:si>
  <x:si>
    <x:t>러시아 문화에 관심을 가지고 수업이나 과제 활동에 자기주도적으로 참여한다.</x:t>
  </x:si>
  <x:si>
    <x:t>논리 연산과 중첩 제어 구조를 활용하여 문제를 해결하는 프로그램을 작성한다.</x:t>
  </x:si>
  <x:si>
    <x:t>다양한 시대와 문화권의 음악을 듣고 음악적 특징과 음악의 구성을 파악한다.</x:t>
  </x:si>
  <x:si>
    <x:t>오선보,정간보 등의 기보법을 활용하여 조건에 따라 악곡의 일부를 바꾼다.</x:t>
  </x:si>
  <x:si>
    <x:t>함께 일하고 싶은 직업인의 특성을 알아보고 바람직한 직업인의 자세를 갖는다.</x:t>
  </x:si>
  <x:si>
    <x:t>언어문화⋅비언어 문화를 포함한 일본 문화 내용을 의사소통 상황에 활용한다.</x:t>
  </x:si>
  <x:si>
    <x:t>다양한 방법으로 자신의 진로 특성을 파악하고 긍정적 자아 개념을 갖는다.</x:t>
  </x:si>
  <x:si>
    <x:t>고등학교의 유형,특성,교육과정에 대한 정보를 통해 교육 기회를 탐색한다.</x:t>
  </x:si>
  <x:si>
    <x:t>낱말이나 간단하고 쉬운 구,문장을 강세와 억양에 유의하여 소리 내어 읽는다.</x:t>
  </x:si>
  <x:si>
    <x:t>일과 여가의 의미와 상호 관계를 이해하고 조화롭고 행복한 삶을 생각한다.</x:t>
  </x:si>
  <x:si>
    <x:t>상호문화적 관점에서 한국 문화와 베트남 문화의 공통점과 차이점을 이해한다.</x:t>
  </x:si>
  <x:si>
    <x:t>간단하고 쉬운 구나 문장으로 주변의 대상이나 상황을 묘사하거나 설명한다.</x:t>
  </x:si>
  <x:si>
    <x:t>디지털 사회의 특성을 탐구하고,사회 변화에 따른 직업의 변화를 탐구한다.</x:t>
  </x:si>
  <x:si>
    <x:t>음성적 특징에 유의하여 낱말,간단하고 쉬운 구나 문장을 소리 내어 읽는다.</x:t>
  </x:si>
  <x:si>
    <x:t>낱말이나 간단하고 쉬운 구,문장을 발음과 성조에 유의하여 소리 내어 읽는다.</x:t>
  </x:si>
  <x:si>
    <x:t>몸과 마음의 신호와 건강지표를 통해 건강상태를 평가하여 건강관리에 적용한다.</x:t>
  </x:si>
  <x:si>
    <x:t>네트형 스포츠의 경기 방법을 이해하고 경기 전략을 활용하며 안전하게 경기한다.</x:t>
  </x:si>
  <x:si>
    <x:t>진로 경로의 다양성과 가변성을 이해하고,유연한 진로 탐색 태도를 함양한다.</x:t>
  </x:si>
  <x:si>
    <x:t>건강문제와 건강생활기술을 탐색하여 질병을 예방할 수 있도록 건강을 관리한다.</x:t>
  </x:si>
  <x:si>
    <x:t>낱말,간단하고 쉬운 구나 문장을 발음 규칙에 유의하여 소리 내어 읽는다.</x:t>
  </x:si>
  <x:si>
    <x:t>[9수02-15] 일차함수의 개념을 이해하고, 그 그래프를 그릴 수 있다.</x:t>
  </x:si>
  <x:si>
    <x:t>일본 문화에 대해 호기심을 가지고 수업이나 과제 활동에 적극적으로 참여한다.</x:t>
  </x:si>
  <x:si>
    <x:t>[9미03-03]다양한 감상 방법과 관점을 활용하여 작품을 해석할 수 있다.</x:t>
  </x:si>
  <x:si>
    <x:t>[9생아04-02]</x:t>
  </x:si>
  <x:si>
    <x:t>[9생베01-01]</x:t>
  </x:si>
  <x:si>
    <x:t>[9생베03-03]</x:t>
  </x:si>
  <x:si>
    <x:t>[9생베02-03]</x:t>
  </x:si>
  <x:si>
    <x:t>[9생아05-01]</x:t>
  </x:si>
  <x:si>
    <x:t>[9생베04-02]</x:t>
  </x:si>
  <x:si>
    <x:t>[9생베05-02]</x:t>
  </x:si>
  <x:si>
    <x:t>[9생베04-01]</x:t>
  </x:si>
  <x:si>
    <x:t>[9생베05-03]</x:t>
  </x:si>
  <x:si>
    <x:t>[9생베03-02]</x:t>
  </x:si>
  <x:si>
    <x:t>[9보04-03]</x:t>
  </x:si>
  <x:si>
    <x:t>[9보01-03]</x:t>
  </x:si>
  <x:si>
    <x:t>[9보03-01]</x:t>
  </x:si>
  <x:si>
    <x:t>[9생아05-03]</x:t>
  </x:si>
  <x:si>
    <x:t>[9생베05-01]</x:t>
  </x:si>
  <x:si>
    <x:t>[9생베02-01]</x:t>
  </x:si>
  <x:si>
    <x:t>[9생베04-03]</x:t>
  </x:si>
  <x:si>
    <x:t>[9생베03-01]</x:t>
  </x:si>
  <x:si>
    <x:t>[9생베02-02]</x:t>
  </x:si>
  <x:si>
    <x:t>[9보01-01]</x:t>
  </x:si>
  <x:si>
    <x:t>[9보05-05]</x:t>
  </x:si>
  <x:si>
    <x:t>[9보01-05]</x:t>
  </x:si>
  <x:si>
    <x:t>[9보02-03]</x:t>
  </x:si>
  <x:si>
    <x:t>[9보01-04]</x:t>
  </x:si>
  <x:si>
    <x:t>[9보02-02]</x:t>
  </x:si>
  <x:si>
    <x:t>[9보03-05]</x:t>
  </x:si>
  <x:si>
    <x:t>[9보03-06]</x:t>
  </x:si>
  <x:si>
    <x:t>[9보02-01]</x:t>
  </x:si>
  <x:si>
    <x:t>[9보01-02]</x:t>
  </x:si>
  <x:si>
    <x:t>[9생베05-05]</x:t>
  </x:si>
  <x:si>
    <x:t>[9보03-04]</x:t>
  </x:si>
  <x:si>
    <x:t>[9생베05-04]</x:t>
  </x:si>
  <x:si>
    <x:t>[9보02-04]</x:t>
  </x:si>
  <x:si>
    <x:t>[9보05-03]</x:t>
  </x:si>
  <x:si>
    <x:t>[9보02-05]</x:t>
  </x:si>
  <x:si>
    <x:t>[9진로01-01]</x:t>
  </x:si>
  <x:si>
    <x:t>[9보04-02]</x:t>
  </x:si>
  <x:si>
    <x:t>[9역10-03]</x:t>
  </x:si>
  <x:si>
    <x:t>[9보04-01]</x:t>
  </x:si>
  <x:si>
    <x:t>[9역12-03]</x:t>
  </x:si>
  <x:si>
    <x:t>[9역13-02]</x:t>
  </x:si>
  <x:si>
    <x:t>[9보03-03]</x:t>
  </x:si>
  <x:si>
    <x:t>[9보05-04]</x:t>
  </x:si>
  <x:si>
    <x:t>[9보04-04]</x:t>
  </x:si>
  <x:si>
    <x:t>[9보04-05]</x:t>
  </x:si>
  <x:si>
    <x:t>[9보03-02]</x:t>
  </x:si>
  <x:si>
    <x:t>[9과01-01]</x:t>
  </x:si>
  <x:si>
    <x:t>[9과02-01]</x:t>
  </x:si>
  <x:si>
    <x:t>[9보05-02]</x:t>
  </x:si>
  <x:si>
    <x:t>[9진로01-02]</x:t>
  </x:si>
  <x:si>
    <x:t>[9보05-01]</x:t>
  </x:si>
  <x:si>
    <x:t>[9역12-01]</x:t>
  </x:si>
  <x:si>
    <x:t>[9과01-03]</x:t>
  </x:si>
  <x:si>
    <x:t>[9과05-02]</x:t>
  </x:si>
  <x:si>
    <x:t>[9과07-01]</x:t>
  </x:si>
  <x:si>
    <x:t>[9역10-04]</x:t>
  </x:si>
  <x:si>
    <x:t>[9과03-01]</x:t>
  </x:si>
  <x:si>
    <x:t>[9과02-02]</x:t>
  </x:si>
  <x:si>
    <x:t>[9과04-04]</x:t>
  </x:si>
  <x:si>
    <x:t>[9과01-02]</x:t>
  </x:si>
  <x:si>
    <x:t>[9역09-01]</x:t>
  </x:si>
  <x:si>
    <x:t>[9역09-02]</x:t>
  </x:si>
  <x:si>
    <x:t>[9역13-04]</x:t>
  </x:si>
  <x:si>
    <x:t>[9역13-01]</x:t>
  </x:si>
  <x:si>
    <x:t>[9역13-03]</x:t>
  </x:si>
  <x:si>
    <x:t>[9역12-02]</x:t>
  </x:si>
  <x:si>
    <x:t>디지털 생활환경으로 나타난 일상생활의 혁신과 변화를 비판적으로 분석한 결과를삶의 질 향상에 활용할 수 있는 방안을 탐색하여 제안한다.</x:t>
  </x:si>
  <x:si>
    <x:t>책임 있는 소비자로서 소비자의 권리와 역할을 인식하고,소비생활에서 발생하는 소비자문제와 해결 방안을 탐색하여 소비생활에 적용한다.</x:t>
  </x:si>
  <x:si>
    <x:t>건설기술의 개념 및 발달과정,건설 구조물의 종류와 특성을 이해하고,건설 구조물의 혁신사례를 탐구함으로써 건설기술의 중요성을 인식한다.</x:t>
  </x:si>
  <x:si>
    <x:t>생태시민의 의미와 역할을 이해하여 미래 세대와 비인간 존재에 대한 배려와 존중이 필요함을인식하고 배려의 대상과 범위에 대해 토의한다.</x:t>
  </x:si>
  <x:si>
    <x:t>옳고 그름을 분별할 수 있는 도덕적 기준을 탐구하고,도덕적 상상력을 바탕으로 일상의 도덕 문제들에 도덕적 추론을 적용할 수 있다.</x:t>
  </x:si>
  <x:si>
    <x:t>스포츠의 연습과 경기 과정에서 구성원 간에 서로 신뢰하며 팀 목표를 달성하기 위해 노력하고 경기 예절을 갖추며 정정당당하게 참여한다.</x:t>
  </x:si>
  <x:si>
    <x:t>환경 갈등 상황에서 환경에 대한 자신의 관점과 의견을 제시하고,환경을 바라보는 다양한 관점을 비교하여 환경과 인간의 관계를 탐색한다.</x:t>
  </x:si>
  <x:si>
    <x:t>일상에서 발생하는 부도덕한 행동의 여러 원인을 분석하고,도덕적 인격이 갖추어야 할 특성들을 파악하여 이를 내면화하는 의지를 기른다.</x:t>
  </x:si>
  <x:si>
    <x:t>[9수02-10] ‘(단항식)×(다항식)’, ‘(다항식)÷(단항식)’과 같은 곱셈과 나눗셈의 원리를 이해하고, 그 계산을 할 수 있다.</x:t>
  </x:si>
  <x:si>
    <x:t>지역 개발과 환경 보존을 둘러싼 글로컬 환경 이슈에 관심을 가지고 자신의 웰빙및 공동체의 지속가능한 발전을 위해 참여하고 실천한다.</x:t>
  </x:si>
  <x:si>
    <x:t>전기⋅전자 부품의 종류와 기능을 이해하고 기능에 맞는 부품을 선택하여 문제를해결하기 위한 간단한 회로를 구성하고 제작 및 평가한다.</x:t>
  </x:si>
  <x:si>
    <x:t>성적 자기 결정권의 중요성을 이해하고,성인지 감수성과 건강한 성 가치관을 함양하여상호 존중의 관계를 실천할 수 있는 방안을 탐색한다.</x:t>
  </x:si>
  <x:si>
    <x:t>자신의 삶과 가치관에 대한 성찰을 통해 자아를 올바로 이해하고,삶에서 도덕이 필요한 이유에 근거하여 도덕적인 삶에 대한 의지를 기른다.</x:t>
  </x:si>
  <x:si>
    <x:t>과학의 발전이 인류 문명에 미친 영향을 이해하고,인공지능 등 첨단 과학기술이 가져올 미래 사회의 변화를 조사하여 발표할 수 있다.</x:t>
  </x:si>
  <x:si>
    <x:t>지식재산권의 종류와 특징을 이해하고,지식재산과 관련한 다양한 사례 조사 및 체험을통해 지식재산권의 창출,보호,활용을 이해하고 실천한다.</x:t>
  </x:si>
  <x:si>
    <x:t>낱말이나 간단한 구,간단하고 쉬운 문장을 읽고 의미와 내용을 파악한다.</x:t>
  </x:si>
  <x:si>
    <x:t>간단한 의사소통 표현을 상황에 맞게 자신감을 가지고 적극적으로 말한다.</x:t>
  </x:si>
  <x:si>
    <x:t>진로의사결정의 방법과 고려 사항을 이해하고 진로를 잠정적으로 결정한다.</x:t>
  </x:si>
  <x:si>
    <x:t>낱말이나 간단한 구,간단하고 쉬운 문장을 발음 규칙에 유의하여 말한다.</x:t>
  </x:si>
  <x:si>
    <x:t>제곱근의 뜻과 성질을 알고,제곱근의 대소 관계를 판단할 수 있다.</x:t>
  </x:si>
  <x:si>
    <x:t>낱말이나 간단하고 쉬운 구,문장을 듣고 발음 및 성조를 식별한다.</x:t>
  </x:si>
  <x:si>
    <x:t>원 간섭기 고려 사회에 나타난 변화를 파악하고 개혁의 영향을 탐구한다.</x:t>
  </x:si>
  <x:si>
    <x:t>다양한 관점과 의견을 존중하며 읽기 활동에 자기주도적으로 참여한다.</x:t>
  </x:si>
  <x:si>
    <x:t>기초적인 낱말이나 구,간단하고 쉬운 문장을 한어병음이나 한자로 쓴다.</x:t>
  </x:si>
  <x:si>
    <x:t>네트형 스포츠의 수행 원리를 적용하여 경기 기능을 수행하고 향상한다.</x:t>
  </x:si>
  <x:si>
    <x:t>낱말이나 간단하고 쉬운 구,문장을 발음⋅강세⋅억양에 유의하여 말한다.</x:t>
  </x:si>
  <x:si>
    <x:t>문제 해결에 적합한 데이터를 수집하고,목적에 맞게 구분하여 관리한다.</x:t>
  </x:si>
  <x:si>
    <x:t>스페인어권의 주요 문화 내용을 스페인어 의사소통 상황에 활용한다.</x:t>
  </x:si>
  <x:si>
    <x:t>독일어권 문화에 대해 호기심을 갖고 탐구 활동에 적극적으로 참여한다.</x:t>
  </x:si>
  <x:si>
    <x:t>간단하고 쉬운 대화문이나 글,디지털 텍스트를 읽고 정보를 파악한다.</x:t>
  </x:si>
  <x:si>
    <x:t>친숙한 주제에 관한 담화나 글에서 인물의 기분이나 감정을 추론한다.</x:t>
  </x:si>
  <x:si>
    <x:t>생활 속의 영역과 연계하여 음악을 만들고 활용하며 책임감을 갖는다.</x:t>
  </x:si>
  <x:si>
    <x:t>기본적인 중국 문화 내용을 이해하여 중국어 의사소통 상황에 활용한다.</x:t>
  </x:si>
  <x:si>
    <x:t>직선상에서 움직이는 물체의 운동을 그래프로 나타내고 해석할 수 있다.</x:t>
  </x:si>
  <x:si>
    <x:t>다양한 학문 분야의 문제 해결을 위해 협력하여 소프트웨어를 개발한다.</x:t>
  </x:si>
  <x:si>
    <x:t>듣기 자료나 타인의 말을 듣고 그 의도를 파악하고 적절히 반응한다.</x:t>
  </x:si>
  <x:si>
    <x:t>간단하고 쉬운 의사소통 기본 표현을 활용하여 상황에 맞게 말한다.</x:t>
  </x:si>
  <x:si>
    <x:t>생활 속에서 음악을 들으며 다양한 감성과 가치를 인식하고 존중한다.</x:t>
  </x:si>
  <x:si>
    <x:t>일상생활과 관련된 간단하고 쉬운 글이나 대화를 듣고 내용을 파악한다.</x:t>
  </x:si>
  <x:si>
    <x:t>왜란과 호란 이후 체제 재정비의 노력과 정치 변동의 모습을 파악한다.</x:t>
  </x:si>
  <x:si>
    <x:t>낱말이나 간단하고 쉬운 구,문장을 강세와 억양에 유의하여 말한다.</x:t>
  </x:si>
  <x:si>
    <x:t>간단하고 쉬운 글이나 대화문을 읽고 주요 정보나 주제를 파악한다.</x:t>
  </x:si>
  <x:si>
    <x:t>일상생활과 관련된 짧고 쉬운 의사소통 표현을 듣고 의미를 파악한다.</x:t>
  </x:si>
  <x:si>
    <x:t>독일어권 주요 문화 내용을 이해하여 독일어 의사소통 상황에 활용한다.</x:t>
  </x:si>
  <x:si>
    <x:t>낱말이나 간단하고 쉬운 구,문장을 발음과 성조에 유의하여 말한다.</x:t>
  </x:si>
  <x:si>
    <x:t>기초적인 낱말이나 구,간단하고 쉬운 문장을 듣고 의미를 파악한다.</x:t>
  </x:si>
  <x:si>
    <x:t>[9수02-14] 함수의 개념을 이해하고, 함숫값을 구할 수 있다.</x:t>
  </x:si>
  <x:si>
    <x:t>[9미01-04]</x:t>
  </x:si>
  <x:si>
    <x:t>[9미01-02]</x:t>
  </x:si>
  <x:si>
    <x:t>[9음03-04]</x:t>
  </x:si>
  <x:si>
    <x:t>[9음02-05]</x:t>
  </x:si>
  <x:si>
    <x:t>[9미01-03]</x:t>
  </x:si>
  <x:si>
    <x:t>[9미03-02]</x:t>
  </x:si>
  <x:si>
    <x:t>[9미02-02]</x:t>
  </x:si>
  <x:si>
    <x:t>[9음03-02]</x:t>
  </x:si>
  <x:si>
    <x:t>[9음01-04]</x:t>
  </x:si>
  <x:si>
    <x:t>[9음02-04]</x:t>
  </x:si>
  <x:si>
    <x:t>[9음03-01]</x:t>
  </x:si>
  <x:si>
    <x:t>[9미02-01]</x:t>
  </x:si>
  <x:si>
    <x:t>[9미01-01]</x:t>
  </x:si>
  <x:si>
    <x:t>[9음02-01]</x:t>
  </x:si>
  <x:si>
    <x:t>[9음02-02]</x:t>
  </x:si>
  <x:si>
    <x:t>[9미02-05]</x:t>
  </x:si>
  <x:si>
    <x:t>[9영02-04]</x:t>
  </x:si>
  <x:si>
    <x:t>[9영01-05]</x:t>
  </x:si>
  <x:si>
    <x:t>[9영02-01]</x:t>
  </x:si>
  <x:si>
    <x:t>[9영02-11]</x:t>
  </x:si>
  <x:si>
    <x:t>[9미03-01]</x:t>
  </x:si>
  <x:si>
    <x:t>[9영01-01]</x:t>
  </x:si>
  <x:si>
    <x:t>[9영01-03]</x:t>
  </x:si>
  <x:si>
    <x:t>[9미03-03]</x:t>
  </x:si>
  <x:si>
    <x:t>[9영01-02]</x:t>
  </x:si>
  <x:si>
    <x:t>[9영02-02]</x:t>
  </x:si>
  <x:si>
    <x:t>[9미03-04]</x:t>
  </x:si>
  <x:si>
    <x:t>[9영01-06]</x:t>
  </x:si>
  <x:si>
    <x:t>[9영01-04]</x:t>
  </x:si>
  <x:si>
    <x:t>[9음03-03]</x:t>
  </x:si>
  <x:si>
    <x:t>[9영02-03]</x:t>
  </x:si>
  <x:si>
    <x:t>[9미02-03]</x:t>
  </x:si>
  <x:si>
    <x:t>[9과02-05]</x:t>
  </x:si>
  <x:si>
    <x:t>[9과05-03]</x:t>
  </x:si>
  <x:si>
    <x:t>[9과08-03]</x:t>
  </x:si>
  <x:si>
    <x:t>[9과06-03]</x:t>
  </x:si>
  <x:si>
    <x:t>[9과06-01]</x:t>
  </x:si>
  <x:si>
    <x:t>[9과09-03]</x:t>
  </x:si>
  <x:si>
    <x:t>[9과11-04]</x:t>
  </x:si>
  <x:si>
    <x:t>[9과06-02]</x:t>
  </x:si>
  <x:si>
    <x:t>[9과03-03]</x:t>
  </x:si>
  <x:si>
    <x:t>[9과04-01]</x:t>
  </x:si>
  <x:si>
    <x:t>[9과03-02]</x:t>
  </x:si>
  <x:si>
    <x:t>[9과02-04]</x:t>
  </x:si>
  <x:si>
    <x:t>[9과02-03]</x:t>
  </x:si>
  <x:si>
    <x:t>[9과04-03]</x:t>
  </x:si>
  <x:si>
    <x:t>[9과04-02]</x:t>
  </x:si>
  <x:si>
    <x:t>[9과05-01]</x:t>
  </x:si>
  <x:si>
    <x:t>[9과09-04]</x:t>
  </x:si>
  <x:si>
    <x:t>[9과07-03]</x:t>
  </x:si>
  <x:si>
    <x:t>[9과08-01]</x:t>
  </x:si>
  <x:si>
    <x:t>[9과09-01]</x:t>
  </x:si>
  <x:si>
    <x:t>[9과10-02]</x:t>
  </x:si>
  <x:si>
    <x:t>[9과09-02]</x:t>
  </x:si>
  <x:si>
    <x:t>[9과07-04]</x:t>
  </x:si>
  <x:si>
    <x:t>[9과10-01]</x:t>
  </x:si>
  <x:si>
    <x:t>[9과12-01]</x:t>
  </x:si>
  <x:si>
    <x:t>[9과12-03]</x:t>
  </x:si>
  <x:si>
    <x:t>[9과09-05]</x:t>
  </x:si>
  <x:si>
    <x:t>[9과14-03]</x:t>
  </x:si>
  <x:si>
    <x:t>[9과07-02]</x:t>
  </x:si>
  <x:si>
    <x:t>[9과05-04]</x:t>
  </x:si>
  <x:si>
    <x:t>[9과10-04]</x:t>
  </x:si>
  <x:si>
    <x:t>[9과08-02]</x:t>
  </x:si>
  <x:si>
    <x:t>[9과14-02]</x:t>
  </x:si>
  <x:si>
    <x:t>[9과11-03]</x:t>
  </x:si>
  <x:si>
    <x:t>[9과13-02]</x:t>
  </x:si>
  <x:si>
    <x:t>[9과10-03]</x:t>
  </x:si>
  <x:si>
    <x:t>[9과13-05]</x:t>
  </x:si>
  <x:si>
    <x:t>[9과16-02]</x:t>
  </x:si>
  <x:si>
    <x:t>[9과12-02]</x:t>
  </x:si>
  <x:si>
    <x:t>[9과11-02]</x:t>
  </x:si>
  <x:si>
    <x:t>[9과15-02]</x:t>
  </x:si>
  <x:si>
    <x:t>[9과15-03]</x:t>
  </x:si>
  <x:si>
    <x:t>[9과11-01]</x:t>
  </x:si>
  <x:si>
    <x:t>[9과13-01]</x:t>
  </x:si>
  <x:si>
    <x:t>[9과14-01]</x:t>
  </x:si>
  <x:si>
    <x:t>[9과13-04]</x:t>
  </x:si>
  <x:si>
    <x:t>[9과17-04]</x:t>
  </x:si>
  <x:si>
    <x:t>[9과20-01]</x:t>
  </x:si>
  <x:si>
    <x:t>[9과17-03]</x:t>
  </x:si>
  <x:si>
    <x:t>[9과15-04]</x:t>
  </x:si>
  <x:si>
    <x:t>[9과16-01]</x:t>
  </x:si>
  <x:si>
    <x:t>[9과16-03]</x:t>
  </x:si>
  <x:si>
    <x:t>[9과15-01]</x:t>
  </x:si>
  <x:si>
    <x:t>[9과21-01]</x:t>
  </x:si>
  <x:si>
    <x:t>[9과18-03]</x:t>
  </x:si>
  <x:si>
    <x:t>[9과18-01]</x:t>
  </x:si>
  <x:si>
    <x:t>[9과13-03]</x:t>
  </x:si>
  <x:si>
    <x:t>[9과17-02]</x:t>
  </x:si>
  <x:si>
    <x:t>[9과16-05]</x:t>
  </x:si>
  <x:si>
    <x:t>[9과14-04]</x:t>
  </x:si>
  <x:si>
    <x:t>[9과17-01]</x:t>
  </x:si>
  <x:si>
    <x:t>[9과16-04]</x:t>
  </x:si>
  <x:si>
    <x:t>[9과16-06]</x:t>
  </x:si>
  <x:si>
    <x:t>[9과21-02]</x:t>
  </x:si>
  <x:si>
    <x:t>[9과22-01]</x:t>
  </x:si>
  <x:si>
    <x:t>[9기가01-10]</x:t>
  </x:si>
  <x:si>
    <x:t>[9과21-05]</x:t>
  </x:si>
  <x:si>
    <x:t>[9기가01-03]</x:t>
  </x:si>
  <x:si>
    <x:t>[9과22-02]</x:t>
  </x:si>
  <x:si>
    <x:t>[9기가01-05]</x:t>
  </x:si>
  <x:si>
    <x:t>[9기가01-07]</x:t>
  </x:si>
  <x:si>
    <x:t>[9과20-02]</x:t>
  </x:si>
  <x:si>
    <x:t>[9과19-02]</x:t>
  </x:si>
  <x:si>
    <x:t>[9과19-01]</x:t>
  </x:si>
  <x:si>
    <x:t>[9과18-02]</x:t>
  </x:si>
  <x:si>
    <x:t>[9과19-03]</x:t>
  </x:si>
  <x:si>
    <x:t>[9과23-02]</x:t>
  </x:si>
  <x:si>
    <x:t>[9과21-03]</x:t>
  </x:si>
  <x:si>
    <x:t>[9과20-03]</x:t>
  </x:si>
  <x:si>
    <x:t>[9과19-04]</x:t>
  </x:si>
  <x:si>
    <x:t>[9기가02-04]</x:t>
  </x:si>
  <x:si>
    <x:t>[9기가02-14]</x:t>
  </x:si>
  <x:si>
    <x:t>[9기가03-06]</x:t>
  </x:si>
  <x:si>
    <x:t>[9기가03-07]</x:t>
  </x:si>
  <x:si>
    <x:t>[9기가01-01]</x:t>
  </x:si>
  <x:si>
    <x:t>[9기가01-09]</x:t>
  </x:si>
  <x:si>
    <x:t>[9기가02-03]</x:t>
  </x:si>
  <x:si>
    <x:t>[9기가01-06]</x:t>
  </x:si>
  <x:si>
    <x:t>[9기가01-12]</x:t>
  </x:si>
  <x:si>
    <x:t>[9기가01-08]</x:t>
  </x:si>
  <x:si>
    <x:t>[9기가01-02]</x:t>
  </x:si>
  <x:si>
    <x:t>[9과23-01]</x:t>
  </x:si>
  <x:si>
    <x:t>[9과21-04]</x:t>
  </x:si>
  <x:si>
    <x:t>[9기가02-01]</x:t>
  </x:si>
  <x:si>
    <x:t>[9기가01-11]</x:t>
  </x:si>
  <x:si>
    <x:t>[9기가01-04]</x:t>
  </x:si>
  <x:si>
    <x:t>[9기가02-07]</x:t>
  </x:si>
  <x:si>
    <x:t>[9기가03-08]</x:t>
  </x:si>
  <x:si>
    <x:t>[9기가02-11]</x:t>
  </x:si>
  <x:si>
    <x:t>[9기가02-10]</x:t>
  </x:si>
  <x:si>
    <x:t>[9기가03-02]</x:t>
  </x:si>
  <x:si>
    <x:t>[9기가02-06]</x:t>
  </x:si>
  <x:si>
    <x:t>[9기가02-12]</x:t>
  </x:si>
  <x:si>
    <x:t>[9기가03-12]</x:t>
  </x:si>
  <x:si>
    <x:t>[9기가03-09]</x:t>
  </x:si>
  <x:si>
    <x:t>[9기가02-13]</x:t>
  </x:si>
  <x:si>
    <x:t>[9기가04-02]</x:t>
  </x:si>
  <x:si>
    <x:t>[9기가02-08]</x:t>
  </x:si>
  <x:si>
    <x:t>[9기가03-05]</x:t>
  </x:si>
  <x:si>
    <x:t>[9기가02-02]</x:t>
  </x:si>
  <x:si>
    <x:t>[9기가02-09]</x:t>
  </x:si>
  <x:si>
    <x:t>[9기가02-05]</x:t>
  </x:si>
  <x:si>
    <x:t>[9기가03-03]</x:t>
  </x:si>
  <x:si>
    <x:t>[9정02-02]</x:t>
  </x:si>
  <x:si>
    <x:t>[9기가04-05]</x:t>
  </x:si>
  <x:si>
    <x:t>[9기가04-06]</x:t>
  </x:si>
  <x:si>
    <x:t>[9기가03-11]</x:t>
  </x:si>
  <x:si>
    <x:t>[9기가03-10]</x:t>
  </x:si>
  <x:si>
    <x:t>[9정02-01]</x:t>
  </x:si>
  <x:si>
    <x:t>[9기가04-11]</x:t>
  </x:si>
  <x:si>
    <x:t>[9기가04-01]</x:t>
  </x:si>
  <x:si>
    <x:t>[9기가03-01]</x:t>
  </x:si>
  <x:si>
    <x:t>[9기가04-04]</x:t>
  </x:si>
  <x:si>
    <x:t>[9기가03-04]</x:t>
  </x:si>
  <x:si>
    <x:t>[9기가04-03]</x:t>
  </x:si>
  <x:si>
    <x:t>[9기가03-13]</x:t>
  </x:si>
  <x:si>
    <x:t>[9기가04-08]</x:t>
  </x:si>
  <x:si>
    <x:t>[9정01-02]</x:t>
  </x:si>
  <x:si>
    <x:t>[9정03-03]</x:t>
  </x:si>
  <x:si>
    <x:t>[9정01-03]</x:t>
  </x:si>
  <x:si>
    <x:t>[9진로01-03]</x:t>
  </x:si>
  <x:si>
    <x:t>[9정02-04]</x:t>
  </x:si>
  <x:si>
    <x:t>[9기가04-10]</x:t>
  </x:si>
  <x:si>
    <x:t>[9정01-01]</x:t>
  </x:si>
  <x:si>
    <x:t>[9기가04-07]</x:t>
  </x:si>
  <x:si>
    <x:t>[9기가04-12]</x:t>
  </x:si>
  <x:si>
    <x:t>[9기가04-09]</x:t>
  </x:si>
  <x:si>
    <x:t>[9정03-02]</x:t>
  </x:si>
  <x:si>
    <x:t>[9정02-03]</x:t>
  </x:si>
  <x:si>
    <x:t>[9기가04-13]</x:t>
  </x:si>
  <x:si>
    <x:t>[9정04-04]</x:t>
  </x:si>
  <x:si>
    <x:t>[9정02-05]</x:t>
  </x:si>
  <x:si>
    <x:t>[9정03-04]</x:t>
  </x:si>
  <x:si>
    <x:t>[9정03-01]</x:t>
  </x:si>
  <x:si>
    <x:t>[9진로02-01]</x:t>
  </x:si>
  <x:si>
    <x:t>[9진로03-02]</x:t>
  </x:si>
  <x:si>
    <x:t>[9체01-08]</x:t>
  </x:si>
  <x:si>
    <x:t>[9체01-07]</x:t>
  </x:si>
  <x:si>
    <x:t>[9진로01-04]</x:t>
  </x:si>
  <x:si>
    <x:t>[9진로02-03]</x:t>
  </x:si>
  <x:si>
    <x:t>[9진로03-04]</x:t>
  </x:si>
  <x:si>
    <x:t>[9정04-05]</x:t>
  </x:si>
  <x:si>
    <x:t>[9정05-01]</x:t>
  </x:si>
  <x:si>
    <x:t>[9정03-09]</x:t>
  </x:si>
  <x:si>
    <x:t>[9진로03-03]</x:t>
  </x:si>
  <x:si>
    <x:t>[9진로02-05]</x:t>
  </x:si>
  <x:si>
    <x:t>[9진로03-01]</x:t>
  </x:si>
  <x:si>
    <x:t>[9진로02-06]</x:t>
  </x:si>
  <x:si>
    <x:t>[9진로02-04]</x:t>
  </x:si>
  <x:si>
    <x:t>[9진로02-02]</x:t>
  </x:si>
  <x:si>
    <x:t>[9정04-03]</x:t>
  </x:si>
  <x:si>
    <x:t>[9정03-07]</x:t>
  </x:si>
  <x:si>
    <x:t>[9정05-02]</x:t>
  </x:si>
  <x:si>
    <x:t>[9체01-04]</x:t>
  </x:si>
  <x:si>
    <x:t>[9정05-03]</x:t>
  </x:si>
  <x:si>
    <x:t>[9체02-05]</x:t>
  </x:si>
  <x:si>
    <x:t>[9정04-02]</x:t>
  </x:si>
  <x:si>
    <x:t>[9정03-06]</x:t>
  </x:si>
  <x:si>
    <x:t>[9체01-06]</x:t>
  </x:si>
  <x:si>
    <x:t>[9정04-01]</x:t>
  </x:si>
  <x:si>
    <x:t>[9체01-11]</x:t>
  </x:si>
  <x:si>
    <x:t>[9정03-08]</x:t>
  </x:si>
  <x:si>
    <x:t>[9체01-02]</x:t>
  </x:si>
  <x:si>
    <x:t>[9체01-03]</x:t>
  </x:si>
  <x:si>
    <x:t>[9정03-05]</x:t>
  </x:si>
  <x:si>
    <x:t>[9체01-01]</x:t>
  </x:si>
  <x:si>
    <x:t>[9체02-04]</x:t>
  </x:si>
  <x:si>
    <x:t>[9체01-14]</x:t>
  </x:si>
  <x:si>
    <x:t>[9체01-09]</x:t>
  </x:si>
  <x:si>
    <x:t>[9체01-12]</x:t>
  </x:si>
  <x:si>
    <x:t>[9체02-03]</x:t>
  </x:si>
  <x:si>
    <x:t>[9체02-07]</x:t>
  </x:si>
  <x:si>
    <x:t>[9체02-10]</x:t>
  </x:si>
  <x:si>
    <x:t>[9체01-10]</x:t>
  </x:si>
  <x:si>
    <x:t>[9체01-05]</x:t>
  </x:si>
  <x:si>
    <x:t>[9체02-02]</x:t>
  </x:si>
  <x:si>
    <x:t>[9체02-01]</x:t>
  </x:si>
  <x:si>
    <x:t>[9체01-13]</x:t>
  </x:si>
  <x:si>
    <x:t>[9체02-08]</x:t>
  </x:si>
  <x:si>
    <x:t>[9체02-11]</x:t>
  </x:si>
  <x:si>
    <x:t>[9체02-27]</x:t>
  </x:si>
  <x:si>
    <x:t>[9체02-23]</x:t>
  </x:si>
  <x:si>
    <x:t>[9체02-15]</x:t>
  </x:si>
  <x:si>
    <x:t>[9체02-26]</x:t>
  </x:si>
  <x:si>
    <x:t>[9체02-20]</x:t>
  </x:si>
  <x:si>
    <x:t>[9체02-14]</x:t>
  </x:si>
  <x:si>
    <x:t>[9체02-18]</x:t>
  </x:si>
  <x:si>
    <x:t>[9체02-12]</x:t>
  </x:si>
  <x:si>
    <x:t>[9체02-19]</x:t>
  </x:si>
  <x:si>
    <x:t>[9체02-06]</x:t>
  </x:si>
  <x:si>
    <x:t>[9체02-21]</x:t>
  </x:si>
  <x:si>
    <x:t>[9체02-09]</x:t>
  </x:si>
  <x:si>
    <x:t>[9체03-03]</x:t>
  </x:si>
  <x:si>
    <x:t>[9체02-24]</x:t>
  </x:si>
  <x:si>
    <x:t>[9체03-08]</x:t>
  </x:si>
  <x:si>
    <x:t>[9체02-13]</x:t>
  </x:si>
  <x:si>
    <x:t>[9체02-16]</x:t>
  </x:si>
  <x:si>
    <x:t>[9체02-17]</x:t>
  </x:si>
  <x:si>
    <x:t>[9음02-03]</x:t>
  </x:si>
  <x:si>
    <x:t>[9음01-01]</x:t>
  </x:si>
  <x:si>
    <x:t>[9체03-07]</x:t>
  </x:si>
  <x:si>
    <x:t>[9체03-02]</x:t>
  </x:si>
  <x:si>
    <x:t>[9체03-06]</x:t>
  </x:si>
  <x:si>
    <x:t>[9미02-04]</x:t>
  </x:si>
  <x:si>
    <x:t>[9음01-02]</x:t>
  </x:si>
  <x:si>
    <x:t>[9체03-04]</x:t>
  </x:si>
  <x:si>
    <x:t>[9체03-10]</x:t>
  </x:si>
  <x:si>
    <x:t>[9체03-05]</x:t>
  </x:si>
  <x:si>
    <x:t>[9체02-22]</x:t>
  </x:si>
  <x:si>
    <x:t>[9체03-01]</x:t>
  </x:si>
  <x:si>
    <x:t>[9음01-03]</x:t>
  </x:si>
  <x:si>
    <x:t>[9체03-09]</x:t>
  </x:si>
  <x:si>
    <x:t>[9체02-25]</x:t>
  </x:si>
  <x:si>
    <x:t>[9영01-08]</x:t>
  </x:si>
  <x:si>
    <x:t>[9한01-03]</x:t>
  </x:si>
  <x:si>
    <x:t>[9영02-10]</x:t>
  </x:si>
  <x:si>
    <x:t>[9영02-06]</x:t>
  </x:si>
  <x:si>
    <x:t>[9영01-07]</x:t>
  </x:si>
  <x:si>
    <x:t>[9한01-02]</x:t>
  </x:si>
  <x:si>
    <x:t>[9한01-01]</x:t>
  </x:si>
  <x:si>
    <x:t>[9한02-01]</x:t>
  </x:si>
  <x:si>
    <x:t>[9영02-08]</x:t>
  </x:si>
  <x:si>
    <x:t>[9영01-09]</x:t>
  </x:si>
  <x:si>
    <x:t>[9영02-05]</x:t>
  </x:si>
  <x:si>
    <x:t>[9영02-07]</x:t>
  </x:si>
  <x:si>
    <x:t>[9영01-10]</x:t>
  </x:si>
  <x:si>
    <x:t>[9한01-06]</x:t>
  </x:si>
  <x:si>
    <x:t>[9한01-04]</x:t>
  </x:si>
  <x:si>
    <x:t>[9환03-02]</x:t>
  </x:si>
  <x:si>
    <x:t>[9환02-01]</x:t>
  </x:si>
  <x:si>
    <x:t>[9환01-04]</x:t>
  </x:si>
  <x:si>
    <x:t>[9환04-02]</x:t>
  </x:si>
  <x:si>
    <x:t>[9환01-03]</x:t>
  </x:si>
  <x:si>
    <x:t>[9한01-05]</x:t>
  </x:si>
  <x:si>
    <x:t>[9환04-03]</x:t>
  </x:si>
  <x:si>
    <x:t>[9한02-06]</x:t>
  </x:si>
  <x:si>
    <x:t>[9환05-02]</x:t>
  </x:si>
  <x:si>
    <x:t>[9환03-03]</x:t>
  </x:si>
  <x:si>
    <x:t>[9한02-05]</x:t>
  </x:si>
  <x:si>
    <x:t>[9한02-02]</x:t>
  </x:si>
  <x:si>
    <x:t>[9환01-01]</x:t>
  </x:si>
  <x:si>
    <x:t>[9한02-04]</x:t>
  </x:si>
  <x:si>
    <x:t>[9환01-02]</x:t>
  </x:si>
  <x:si>
    <x:t>[9한02-03]</x:t>
  </x:si>
  <x:si>
    <x:t>[9영02-09]</x:t>
  </x:si>
  <x:si>
    <x:t>[9환02-03]</x:t>
  </x:si>
  <x:si>
    <x:t>[9생독03-02]</x:t>
  </x:si>
  <x:si>
    <x:t>[9환05-03]</x:t>
  </x:si>
  <x:si>
    <x:t>[9생독05-03]</x:t>
  </x:si>
  <x:si>
    <x:t>[9생독01-03]</x:t>
  </x:si>
  <x:si>
    <x:t>[9생독01-01]</x:t>
  </x:si>
  <x:si>
    <x:t>[9생독02-02]</x:t>
  </x:si>
  <x:si>
    <x:t>[9환05-01]</x:t>
  </x:si>
  <x:si>
    <x:t>[9환02-02]</x:t>
  </x:si>
  <x:si>
    <x:t>[9환04-04]</x:t>
  </x:si>
  <x:si>
    <x:t>[9환03-04]</x:t>
  </x:si>
  <x:si>
    <x:t>[9환03-01]</x:t>
  </x:si>
  <x:si>
    <x:t>[9환04-01]</x:t>
  </x:si>
  <x:si>
    <x:t>[9환04-05]</x:t>
  </x:si>
  <x:si>
    <x:t>[9생독01-02]</x:t>
  </x:si>
  <x:si>
    <x:t>[9생독02-01]</x:t>
  </x:si>
  <x:si>
    <x:t>[9생독04-02]</x:t>
  </x:si>
  <x:si>
    <x:t>[9생스04-01]</x:t>
  </x:si>
  <x:si>
    <x:t>[9생독02-03]</x:t>
  </x:si>
  <x:si>
    <x:t>[9생스01-04]</x:t>
  </x:si>
  <x:si>
    <x:t>[9생독03-03]</x:t>
  </x:si>
  <x:si>
    <x:t>[9생스02-01]</x:t>
  </x:si>
  <x:si>
    <x:t>[9생스01-01]</x:t>
  </x:si>
  <x:si>
    <x:t>[9생독03-01]</x:t>
  </x:si>
  <x:si>
    <x:t>[9생스01-02]</x:t>
  </x:si>
  <x:si>
    <x:t>[9생독05-02]</x:t>
  </x:si>
  <x:si>
    <x:t>[9생독05-04]</x:t>
  </x:si>
  <x:si>
    <x:t>[9생스03-02]</x:t>
  </x:si>
  <x:si>
    <x:t>[9생독05-01]</x:t>
  </x:si>
  <x:si>
    <x:t>[9생독04-01]</x:t>
  </x:si>
  <x:si>
    <x:t>[9생스02-04]</x:t>
  </x:si>
  <x:si>
    <x:t>[9생독04-03]</x:t>
  </x:si>
  <x:si>
    <x:t>[9생스03-03]</x:t>
  </x:si>
  <x:si>
    <x:t>[9생중01-01]</x:t>
  </x:si>
  <x:si>
    <x:t>[9생스05-02]</x:t>
  </x:si>
  <x:si>
    <x:t>[9생스04-03]</x:t>
  </x:si>
  <x:si>
    <x:t>[9생중05-03]</x:t>
  </x:si>
  <x:si>
    <x:t>[9생스02-02]</x:t>
  </x:si>
  <x:si>
    <x:t>[9생중02-02]</x:t>
  </x:si>
  <x:si>
    <x:t>[9생스05-03]</x:t>
  </x:si>
  <x:si>
    <x:t>[9생스03-01]</x:t>
  </x:si>
  <x:si>
    <x:t>[9생스04-02]</x:t>
  </x:si>
  <x:si>
    <x:t>[9생중01-04]</x:t>
  </x:si>
  <x:si>
    <x:t>[9생중01-03]</x:t>
  </x:si>
  <x:si>
    <x:t>[9생스02-03]</x:t>
  </x:si>
  <x:si>
    <x:t>[9생중01-02]</x:t>
  </x:si>
  <x:si>
    <x:t>[9생스01-03]</x:t>
  </x:si>
  <x:si>
    <x:t>[9생스05-04]</x:t>
  </x:si>
  <x:si>
    <x:t>[9생중05-01]</x:t>
  </x:si>
  <x:si>
    <x:t>[9생중03-03]</x:t>
  </x:si>
  <x:si>
    <x:t>[9생일01-01]</x:t>
  </x:si>
  <x:si>
    <x:t>[9생일03-02]</x:t>
  </x:si>
  <x:si>
    <x:t>[9생일02-02]</x:t>
  </x:si>
  <x:si>
    <x:t>[9생중03-01]</x:t>
  </x:si>
  <x:si>
    <x:t>[9생중02-03]</x:t>
  </x:si>
  <x:si>
    <x:t>[9생중03-02]</x:t>
  </x:si>
  <x:si>
    <x:t>[9생중04-03]</x:t>
  </x:si>
  <x:si>
    <x:t>[9생일02-03]</x:t>
  </x:si>
  <x:si>
    <x:t>[9생중04-02]</x:t>
  </x:si>
  <x:si>
    <x:t>[9생중04-01]</x:t>
  </x:si>
  <x:si>
    <x:t>[9생중05-02]</x:t>
  </x:si>
  <x:si>
    <x:t>[9생스05-01]</x:t>
  </x:si>
  <x:si>
    <x:t>[9생중02-01]</x:t>
  </x:si>
  <x:si>
    <x:t>[9생중05-04]</x:t>
  </x:si>
  <x:si>
    <x:t>[9생일04-01]</x:t>
  </x:si>
  <x:si>
    <x:t>[9생일05-01]</x:t>
  </x:si>
  <x:si>
    <x:t>[9생일03-01]</x:t>
  </x:si>
  <x:si>
    <x:t>[9생일01-02]</x:t>
  </x:si>
  <x:si>
    <x:t>[9생러01-03]</x:t>
  </x:si>
  <x:si>
    <x:t>[9생일05-02]</x:t>
  </x:si>
  <x:si>
    <x:t>[9생일04-02]</x:t>
  </x:si>
  <x:si>
    <x:t>[9생일05-03]</x:t>
  </x:si>
  <x:si>
    <x:t>[9생러02-01]</x:t>
  </x:si>
  <x:si>
    <x:t>[9생일01-03]</x:t>
  </x:si>
  <x:si>
    <x:t>[9생러01-01]</x:t>
  </x:si>
  <x:si>
    <x:t>[9생일02-04]</x:t>
  </x:si>
  <x:si>
    <x:t>[9생일04-03]</x:t>
  </x:si>
  <x:si>
    <x:t>[9생일03-03]</x:t>
  </x:si>
  <x:si>
    <x:t>[9생일05-05]</x:t>
  </x:si>
  <x:si>
    <x:t>[9생일02-01]</x:t>
  </x:si>
  <x:si>
    <x:t>[9생러03-03]</x:t>
  </x:si>
  <x:si>
    <x:t>[9생러05-03]</x:t>
  </x:si>
  <x:si>
    <x:t>[9생아05-02]</x:t>
  </x:si>
  <x:si>
    <x:t>[9생러02-03]</x:t>
  </x:si>
  <x:si>
    <x:t>[9생러03-02]</x:t>
  </x:si>
  <x:si>
    <x:t>[9생러02-02]</x:t>
  </x:si>
  <x:si>
    <x:t>[9생러03-01]</x:t>
  </x:si>
  <x:si>
    <x:t>[9생러04-01]</x:t>
  </x:si>
  <x:si>
    <x:t>[9생러05-02]</x:t>
  </x:si>
  <x:si>
    <x:t>[9생러04-02]</x:t>
  </x:si>
  <x:si>
    <x:t>[9생러04-03]</x:t>
  </x:si>
  <x:si>
    <x:t>[9생러01-02]</x:t>
  </x:si>
  <x:si>
    <x:t>[9생러05-01]</x:t>
  </x:si>
  <x:si>
    <x:t>[9생아04-01]</x:t>
  </x:si>
  <x:si>
    <x:t>[9생아01-01]</x:t>
  </x:si>
  <x:si>
    <x:t>[9생일05-04]</x:t>
  </x:si>
  <x:si>
    <x:t>[9생아03-03]</x:t>
  </x:si>
  <x:si>
    <x:t>[9생아05-04]</x:t>
  </x:si>
  <x:si>
    <x:t>[9생아04-03]</x:t>
  </x:si>
  <x:si>
    <x:t>[9생아03-01]</x:t>
  </x:si>
  <x:si>
    <x:t>[9생베01-03]</x:t>
  </x:si>
  <x:si>
    <x:t>[9생아01-03]</x:t>
  </x:si>
  <x:si>
    <x:t>[9생아03-02]</x:t>
  </x:si>
  <x:si>
    <x:t>[9생아02-01]</x:t>
  </x:si>
  <x:si>
    <x:t>[9생아02-03]</x:t>
  </x:si>
  <x:si>
    <x:t>[9생베01-04]</x:t>
  </x:si>
  <x:si>
    <x:t>[9생아02-02]</x:t>
  </x:si>
  <x:si>
    <x:t>[9생베01-02]</x:t>
  </x:si>
  <x:si>
    <x:t>[9생아01-02]</x:t>
  </x:si>
  <x:si>
    <x:t>소리의 상호작용을 인식하고 매체를 활용하여 함께 표현한다.</x:t>
  </x:si>
  <x:si>
    <x:t>국어의 음운 체계와 문자 체계를 이해하고 국어생활에 활용한다.</x:t>
  </x:si>
  <x:si>
    <x:t>연음이나 축약된 소리를 활용하여 단어,어구,문장을 말한다.</x:t>
  </x:si>
  <x:si>
    <x:t>간단하고 쉬운 의사소통 표현을 사용하여 상황에 맞게 말한다.</x:t>
  </x:si>
  <x:si>
    <x:t>고려의 정치적 변동을 파악하고 주변국과의 관계를 이해한다.</x:t>
  </x:si>
  <x:si>
    <x:t>자신의 체력을 진단하고 적합한 체력 관리 방법을 실천한다.</x:t>
  </x:si>
  <x:si>
    <x:t>화학 반응에서 질량이 보존됨을 실험을 통해 추론할 수 있다.</x:t>
  </x:si>
  <x:si>
    <x:t>읽기 목적과 글의 구조를 고려하며 글을 효과적으로 요약한다.</x:t>
  </x:si>
  <x:si>
    <x:t>적절한 전략을 활용하여 상황이나 목적에 맞게 말하거나 쓴다.</x:t>
  </x:si>
  <x:si>
    <x:t>다양한 감상 방법과 관점을 활용하여 작품을 해석할 수 있다.</x:t>
  </x:si>
  <x:si>
    <x:t>주제를 탐구하고 의도를 반영하여 적합한표현을 계획할 수 있다.</x:t>
  </x:si>
  <x:si>
    <x:t>다항식의 덧셈과 뺄셈의 원리를 이해하고,그 계산을 할 수 있다.</x:t>
  </x:si>
  <x:si>
    <x:t>조선 후기 사회적 모순에 대한 여러 세력의 대응을 탐구한다.</x:t>
  </x:si>
  <x:si>
    <x:t>명⋅청,에도 막부,무굴 제국의 정치⋅사회 변화를 비교한다.</x:t>
  </x:si>
  <x:si>
    <x:t>사회⋅문화적 맥락을 고려하여 매체 자료의 공정성을 평가한다.</x:t>
  </x:si>
  <x:si>
    <x:t>스포츠 표현의 원리를 적용하여 동작을 심미적으로 표현한다.</x:t>
  </x:si>
  <x:si>
    <x:t>미술의 시대적,지역적,사회적 맥락을 이해하고 설명할 수 있다.</x:t>
  </x:si>
  <x:si>
    <x:t>연관성이 있는 다른 작품들과의 관계를 파악하며 작품을 감상한다.</x:t>
  </x:si>
  <x:si>
    <x:t>동일한 화제를 다룬 여러 글이나 자료를 주제 통합적으로 읽는다.</x:t>
  </x:si>
  <x:si>
    <x:t>단어와 성어를 맥락에 맞게 활용하여 소통하는 태도를 기른다.</x:t>
  </x:si>
  <x:si>
    <x:t>적절한 매체를 활용하여 정보 윤리를 준수하며 말하거나 쓴다.</x:t>
  </x:si>
  <x:si>
    <x:t>수정란으로부터 개체가 발생하는 과정을 모형으로 표현할 수 있다.</x:t>
  </x:si>
  <x:si>
    <x:t>실생활의 문제를 탐색하여 발견하고,프로그래밍을 통해 해결한다.</x:t>
  </x:si>
  <x:si>
    <x:t>실생활의 데이터를 표,다이어그램 등 다양한 형태로 구조화한다.</x:t>
  </x:si>
  <x:si>
    <x:t>친숙한 주제에 관해 일이나 사건의 논리적 관계를 설명한다.</x:t>
  </x:si>
  <x:si>
    <x:t>오스만 제국의 성장과 유럽 사회의 근대적 변화를 조사한다.</x:t>
  </x:si>
  <x:si>
    <x:t>음성적 특징에 유의하여 낱말,간단하고 쉬운 구나 문장을 말한다.</x:t>
  </x:si>
  <x:si>
    <x:t>간단하고 쉬운 의사소통 표현을 듣고 상황에 맞게 반응한다.</x:t>
  </x:si>
  <x:si>
    <x:t>이름이나 숫자 등 간단한 정보를 한어병음이나 한자로 기입한다.</x:t>
  </x:si>
  <x:si>
    <x:t>낱말이나 간단한 구,간단하고 쉬운 문장을 어법에 맞게 쓴다.</x:t>
  </x:si>
  <x:si>
    <x:t>낱말,간단하고 쉬운 구,문장을 정서법과 어법에 맞게 쓴다.</x:t>
  </x:si>
  <x:si>
    <x:t>음악 요소와 음악적 특징을 살려 노래나 악기로 발표하고 평한다.</x:t>
  </x:si>
  <x:si>
    <x:t>삼각형의 외심과 내심의 성질을 이해하고 정당화할 수 있다.</x:t>
  </x:si>
  <x:si>
    <x:t>국권 피탈 이후 전개된 민족 운동을 세계사적 관점에서 이해한다.</x:t>
  </x:si>
  <x:si>
    <x:t>간단하고 쉬운 대화문이나 글을 상황과 목적에 맞게 작성한다.</x:t>
  </x:si>
  <x:si>
    <x:t>간단하고 쉬운 대화문이나 텍스트를 상황과 목적에 맞게 작성한다.</x:t>
  </x:si>
  <x:si>
    <x:t>[9수02-19] 다항식의 곱셈과 인수분해를 할 수 있다.</x:t>
  </x:si>
  <x:si>
    <x:t>음악의 요소와 특징을 활용하여 간단한 형식의 음악을 만든다.</x:t>
  </x:si>
  <x:si>
    <x:t>고조선과 여러 나라의 형성 과정 및 사회 모습을 탐구한다.</x:t>
  </x:si>
  <x:si>
    <x:t>낱말이나 간단하고 쉬운 구,문장을 읽고 의미와 내용을 이해한다.</x:t>
  </x:si>
  <x:si>
    <x:t>평행선에서 동위각과 엇각의 성질을 이해하고 설명할 수 있다.</x:t>
  </x:si>
  <x:si>
    <x:t>간단하고 쉬운 의사소통 표현을 사용하여 상황에 맞게 대화한다.</x:t>
  </x:si>
  <x:si>
    <x:t>왜란과 호란의 성격을 동아시아 국제 정세 속에서 분석한다.</x:t>
  </x:si>
  <x:si>
    <x:t>다양한 문화를 존중하며 이미지를 활용하여 소통할 수 있다.</x:t>
  </x:si>
  <x:si>
    <x:t>다양한 데이터를 활용하여 인공지능 시스템을 구성하고 적용한다.</x:t>
  </x:si>
  <x:si>
    <x:t>글쓰기에 흥미를 갖고 쓰기 활동에 자기주도적으로 참여한다.</x:t>
  </x:si>
  <x:si>
    <x:t>간단하고 쉬운 글이나 자료,대화문을 읽고 내용을 이해한다.</x:t>
  </x:si>
  <x:si>
    <x:t>간단하고 쉬운 글이나 대화문을 상황과 목적에 맞게 작성한다.</x:t>
  </x:si>
  <x:si>
    <x:t>태양계를 구성하는 천체의 특징을 알고,행성을 목성형 행성과 지구형 행성으로 구분할 수 있다.</x:t>
  </x:si>
  <x:si>
    <x:t>중앙값,최빈값의 뜻을 알고,자료의 특성에 따라 적절한 대푯값을 선택하여 구할 수 있다.</x:t>
  </x:si>
  <x:si>
    <x:t>다양한 상황을 문자를 사용한 식으로 나타내어 그 유용성을 인식하고,식의 값을 구할 수 있다.</x:t>
  </x:si>
  <x:si>
    <x:t>기록형 스포츠의 경기 방법을 이해하고 경기 전략을 상황에 맞게 활용하며 안전하게 경기한다.</x:t>
  </x:si>
  <x:si>
    <x:t>재료의 종류와 특성을 이해하며,목적에 맞는 재료를 선택하고,안전한 가공 방법을 실천한다.</x:t>
  </x:si>
  <x:si>
    <x:t>기체의 압력과 부피 관계를 실험 결과로부터 알아내고,이를 입자 모형으로 해석할 수있다.</x:t>
  </x:si>
  <x:si>
    <x:t>물리 변화와 화학 변화의 의미를 알고,화학 변화에서 새로운 물질이 생성됨을 관찰할 수 있다.</x:t>
  </x:si>
  <x:si>
    <x:t>지속가능성을 고려하여 의복 마련 계획을 세우고,이를 창의적이고 친환경적인 의생활에적용한다.</x:t>
  </x:si>
  <x:si>
    <x:t>자료를 줄기와 잎 그림,도수분포표,히스토그램,도수분포다각형으로 나타내고 해석할수 있다.</x:t>
  </x:si>
  <x:si>
    <x:t>생물다양성 보전의 필요성을 이해하고,생물다양성 유지를 위한 방안을 조사하고 실천할 수 있다.</x:t>
  </x:si>
  <x:si>
    <x:t>다양한 경험과 진로 활동을 자신의 진로와 연계하며 주도적인 진로 탐색 태도를 함양한다.</x:t>
  </x:si>
  <x:si>
    <x:t>청소년기 성적 발달과 관계,신체상에 대해 알아보고 사회적 조건을 이해하며 건강하게 관리한다.</x:t>
  </x:si>
  <x:si>
    <x:t>효율적인 주거 공간 구성 방안을 탐색하여 자신의 생활에 적합한 주거 공간 구성에 활용한다.</x:t>
  </x:si>
  <x:si>
    <x:t>한일 문화의 공통점과 차이점에 대해 상호문화적 관점에서 온오프라인으로 의견을 공유한다.</x:t>
  </x:si>
  <x:si>
    <x:t>물가 변동과 실업의 사례를 탐색하고 물가 변동과 실업이 우리 생활에 미치는 영향을제시한다.</x:t>
  </x:si>
  <x:si>
    <x:t>마찰 전기,정전기 유도 현상을 관찰하고,이를 전기력과 원자 모형을 이용하여 설명할 수 있다.</x:t>
  </x:si>
  <x:si>
    <x:t>다양한 상황을 이용하여 음수의 필요성을 인식하고,양수와 음수,정수와 유리수의개념을 이해한다.</x:t>
  </x:si>
  <x:si>
    <x:t>인도,서아시아,지중해에서 진행된 정치적 변동 과정과 각 종교의 특징 및 영향을 파악한다.</x:t>
  </x:si>
  <x:si>
    <x:t>물질의 특성의 의미를 알고,실험을 통해 밀도,용해도,녹는점,끓는점 등을 설명할 수 있다.</x:t>
  </x:si>
  <x:si>
    <x:t>간단하고 쉬운 글이나 대화를 듣고 말의 의도를 추측하거나 그에 상응하는 반응을 보인다.</x:t>
  </x:si>
  <x:si>
    <x:t>물체에 작용하는 힘을 화살표를 이용하여 나타내고,힘의 평형을 이루는 조건을 설명할 수 있다.</x:t>
  </x:si>
  <x:si>
    <x:t>환경 문제의 원인과 영향을 데이터를 기반으로 조사하고,관련 쟁점과 해결 방안을 탐구한다.</x:t>
  </x:si>
  <x:si>
    <x:t>수송 수단 및 물류 체제와 관련된 문제를 이해하고 해결방안을 탐색하여 실현하고 평가한다.</x:t>
  </x:si>
  <x:si>
    <x:t>확산 및 증발 현상을 관찰하여 물질을 구성하는 입자가 운동하고 있음을 추론할 수 있다.</x:t>
  </x:si>
  <x:si>
    <x:t>진로 정보를 탐색하는 다양한 방법을 알아보고 관심 분야의 진로 정보를 탐색하고 활용한다.</x:t>
  </x:si>
  <x:si>
    <x:t>투기형 스포츠의 경기 방법을 이해하고 경기 전략을 상황에 맞게 활용하며 안전하게 경기한다.</x:t>
  </x:si>
  <x:si>
    <x:t>[9기가01-12]성폭력과 가정폭력의 사회⋅구조적인 원인과 영향을 분석하고,다양한 문제 상황을 중심으로 이를 대처하고 지원하는 방안을 탐색한다.</x:t>
  </x:si>
  <x:si>
    <x:t>[9도01-04]옳고 그름을 분별할 수 있는 도덕적 기준을 탐구하고,도덕적 상상력을 바탕으로 일상의 도덕 문제들에 도덕적 추론을 적용할 수 있다.</x:t>
  </x:si>
  <x:si>
    <x:t>[9사(지리)08-01]우리나라 주요 산지⋅하천⋅해안 지형의 위치와 특성을 파악하고,매력적인 지형경관을 탐색하여 우리 국토의 아름다움을 느낀다.</x:t>
  </x:si>
  <x:si>
    <x:t>[9체02-26]스포츠의 연습과 경기 과정에서 구성원 간에 서로 신뢰하며 팀 목표를 달성하기 위해 노력하고 경기 예절을 갖추며 정정당당하게 참여한다.</x:t>
  </x:si>
  <x:si>
    <x:t>[9사(지리)11-03]세계시민의 관점에서 한반도 평화의 중요성을 논의하고,한반도 평화와 통일 환경 속에서 우리의 삶과 국토의 미래를 구상한다.</x:t>
  </x:si>
  <x:si>
    <x:t>[9환05-02]생태시민의 의미와 역할을 이해하여 미래 세대와 비인간 존재에 대한 배려와 존중이 필요함을인식하고 배려의 대상과 범위에 대해 토의한다.</x:t>
  </x:si>
  <x:si>
    <x:t>[9과01-02]과학의 발전이 인류 문명에 미친 영향을 이해하고,인공지능 등 첨단 과학기술이 가져올 미래 사회의 변화를 조사하여 발표할 수 있다.</x:t>
  </x:si>
  <x:si>
    <x:t>[9도01-02]일상에서 발생하는 부도덕한 행동의 여러 원인을 분석하고,도덕적 인격이 갖추어야 할 특성들을 파악하여 이를 내면화하는 의지를 기른다.</x:t>
  </x:si>
  <x:si>
    <x:t>[9기가04-04]전기⋅전자 부품의 종류와 기능을 이해하고 기능에 맞는 부품을 선택하여 문제를해결하기 위한 간단한 회로를 구성하고 제작 및 평가한다.</x:t>
  </x:si>
  <x:si>
    <x:t>[9도01-03]행복에 관한 심리적,사회적,윤리적 접근 등을 통해 행복의 의미를 종합적으로 파악하고,삶의 목적과 행복의 관계를 정립할 수 있다.</x:t>
  </x:si>
  <x:si>
    <x:t>[9기가02-13]책임 있는 소비자로서 소비자의 권리와 역할을 인식하고,소비생활에서 발생하는 소비자문제와 해결 방안을 탐색하여 소비생활에 적용한다.</x:t>
  </x:si>
  <x:si>
    <x:t>[9기가04-10]인간의 건강과 생명 연장을 위해 의료 분야에서 활용되는 생명기술 사례를 조사하고,생명기술이 개인과 사회에 미친 영향을 평가한다.</x:t>
  </x:si>
  <x:si>
    <x:t>[9보04-04]상황에 따른 응급처치의 원리와 방법을 이해하고,다양한 위기 및 응급상황에서 적절한 응급처치와 협력적 대응 방안을 탐색하여 적용한다.</x:t>
  </x:si>
  <x:si>
    <x:t>[9환01-02]환경 갈등 상황에서 환경에 대한 자신의 관점과 의견을 제시하고,환경을 바라보는 다양한 관점을 비교하여 환경과 인간의 관계를 탐색한다.</x:t>
  </x:si>
  <x:si>
    <x:t>[9기가01-03]건강과 성장을 위한 청소년기 영양의 중요성을 이해하여 자신의 식생활을 평가하고,식생활 문제를 개선하여 건강한 식생활을 실천한다.</x:t>
  </x:si>
  <x:si>
    <x:t>[9기가04-02]건설 구조물의 종류에 따른 계획,설계,시공,유지관리 방법을 탐구하고 건설과정의 중요성을 이해하며 건설 구조물의 가치를 인식한다.</x:t>
  </x:si>
  <x:si>
    <x:t>[9기가04-13]긍정적이고 공감하는 문제 해결 태도를 바탕으로 지속가능한 발전과 혁신을 위해 융합 기술 문제를 해결하고 과정과 결과를 평가한다.</x:t>
  </x:si>
  <x:si>
    <x:t>[9사(지리)06-03]극지방의 지리적 중요성과 지역 개발을 둘러싼 다양한 이해관계를 살펴보고,이에 대한 자신과 상대방의 의견을 비판적으로 검토한다.</x:t>
  </x:si>
  <x:si>
    <x:t>[9미02-03]조형 요소와 원리,표현 재료와 방법,디지털 매체를 포함한 다양한 매체를 활용하여주제를 효과적으로 표현할 수 있다.</x:t>
  </x:si>
  <x:si>
    <x:t>[9기가02-07]주거의 의미와 가치가 변화함에 따라 나타나는 다양한 생활 양식을 탐색하고,더불어 살아가는 주거 문화를 실천한다.</x:t>
  </x:si>
  <x:si>
    <x:t>[9과23-01]과학과 관련된 직업의 종류와 하는 일을 조사하고,과학기술의 발달로 생기는 미래 사회의직업 변화를 예상할 수 있다.</x:t>
  </x:si>
  <x:si>
    <x:t>[9생베04-01]낱말이나 간단하고 쉬운 구,문장을 철자와 성조에 유의하여 쓴다.</x:t>
  </x:si>
  <x:si>
    <x:t>[9생베03-03]간단하고 쉬운 글이나 대화문을 읽고 주요 정보나 주제를 파악한다.</x:t>
  </x:si>
  <x:si>
    <x:t>[9생스05-02]스페인어권의 주요 문화 내용을 스페인어 의사소통 상황에 활용한다.</x:t>
  </x:si>
  <x:si>
    <x:t>[9생아02-01]발음 규칙에 유의하여 낱말,간단하고 쉬운 구나 문장을 말한다.</x:t>
  </x:si>
  <x:si>
    <x:t>[9생아03-03]간단하고 쉬운 글이나 대화문을 읽고 핵심어나 대의를 파악한다.</x:t>
  </x:si>
  <x:si>
    <x:t>[9생아01-01]발음 규칙에 유의하여 듣고 자음과 모음,소리와 철자를 식별한다.</x:t>
  </x:si>
  <x:si>
    <x:t>[9생일02-01]음성적 특징에 유의하여 낱말,간단하고 쉬운 구나 문장을 말한다.</x:t>
  </x:si>
  <x:si>
    <x:t>[9생일03-03]간단하고 쉬운 대화문이나 글,디지털 텍스트를 읽고 정보를 파악한다.</x:t>
  </x:si>
  <x:si>
    <x:t>[9생중01-02]기초적인 낱말이나 구,간단하고 쉬운 문장을 듣고 의미를 파악한다.</x:t>
  </x:si>
  <x:si>
    <x:t>[9생중04-02]이름이나 숫자 등 간단한 정보를 한어병음이나 한자로 기입한다.</x:t>
  </x:si>
  <x:si>
    <x:t>[9수01-06]순환소수의 뜻을 알고,유리수와 순환소수의 관계를 설명할 수 있다.</x:t>
  </x:si>
  <x:si>
    <x:t>[9수02-02]일차식의 덧셈과 뺄셈의 원리를 이해하고,그 계산을 할 수 있다.</x:t>
  </x:si>
  <x:si>
    <x:t>[9생중01-03]일상생활과 관련된 짧고 쉬운 의사소통 표현을 듣고 의미를 파악한다.</x:t>
  </x:si>
  <x:si>
    <x:t>[9생일02-03]간단하고 쉬운 의사소통 기본 표현을 활용하여 상황에 맞게 말한다.</x:t>
  </x:si>
  <x:si>
    <x:t>[9수02-04]일차방정식을 풀 수 있고,이를 활용하여 문제를 해결할 수 있다.</x:t>
  </x:si>
  <x:si>
    <x:t>[9수02-09]다항식의 덧셈과 뺄셈의 원리를 이해하고,그 계산을 할 수 있다.</x:t>
  </x:si>
  <x:si>
    <x:t>[9수01-05]정수와 유리수의 사칙계산의 원리를 이해하고,그 계산을 할 수 있다.</x:t>
  </x:si>
  <x:si>
    <x:t>[9수01-07]제곱근의 뜻과 성질을 알고,제곱근의 대소 관계를 판단할 수 있다.</x:t>
  </x:si>
  <x:si>
    <x:t>[9수02-06]다양한 상황을 그래프로 나타내고,주어진 그래프를 해석할 수 있다.</x:t>
  </x:si>
  <x:si>
    <x:t>[9역02-01]선사 문화 및 문명의 형성을 이해하고,각 문명의 특징을 비교한다.</x:t>
  </x:si>
  <x:si>
    <x:t>[9역06-03]아시아⋅아프리카 지역의 민족 운동을 이해하고,그 특징을 비교한다.</x:t>
  </x:si>
  <x:si>
    <x:t>[9역10-04]고려의 문화유산과 대외 교류의 사례를 조사하여 그 특징을 파악한다.</x:t>
  </x:si>
  <x:si>
    <x:t>[9정02-02]문제 해결에 적합한 데이터를 수집하고,목적에 맞게 구분하여 관리한다.</x:t>
  </x:si>
  <x:si>
    <x:t>[9역07-02] 20세기 후반 민주주의와 인권의 신장을 위한 노력에 관심을 갖는다.</x:t>
  </x:si>
  <x:si>
    <x:t>[9영01-05]친숙한 주제에 관한 담화나 글에서 인물의 기분이나 감정을 추론한다.</x:t>
  </x:si>
  <x:si>
    <x:t>[9음01-02]음악 요소와 음악적 특징을 살려 노래나 악기로 발표하고 평한다.</x:t>
  </x:si>
  <x:si>
    <x:t>[9역12-01]왜란과 호란 이후 체제 재정비의 노력과 정치 변동의 모습을 파악한다.</x:t>
  </x:si>
  <x:si>
    <x:t>[9역13-02]국권 피탈 이후 전개된 민족 운동을 세계사적 관점에서 이해한다.</x:t>
  </x:si>
  <x:si>
    <x:t>[9음02-04]생활 속에서 음악을 들으며 다양한 감성과 가치를 인식하고 존중한다.</x:t>
  </x:si>
  <x:si>
    <x:t>[9음03-04]생활 속의 영역과 연계하여 음악을 만들고 활용하며 책임감을 갖는다.</x:t>
  </x:si>
  <x:si>
    <x:t>[9역11-02]사림 세력의 성장이 성리학적 질서 확산에 끼친 영향을 추론한다.</x:t>
  </x:si>
  <x:si>
    <x:t>[9정03-09]다양한 학문 분야의 문제 해결을 위해 협력하여 소프트웨어를 개발한다.</x:t>
  </x:si>
  <x:si>
    <x:t>[9과02-03]생물다양성을 이해하고,변이와 생물다양성의 관계를 추론할 수 있다.</x:t>
  </x:si>
  <x:si>
    <x:t>[9국04-06]한글 맞춤법의 기본 원리와 내용을 이해하고 국어생활에 적용한다.</x:t>
  </x:si>
  <x:si>
    <x:t>[9국05-01]운율,비유,상징의 특성과 효과에 유의하며 작품을 감상하고 창작한다.</x:t>
  </x:si>
  <x:si>
    <x:t>[9국05-04]보는 이나 말하는 이의 특성과 효과를 파악하며 작품을 감상한다.</x:t>
  </x:si>
  <x:si>
    <x:t>[9과19-01]직선상에서 움직이는 물체의 운동을 그래프로 나타내고 해석할 수 있다.</x:t>
  </x:si>
  <x:si>
    <x:t>[9국01-09]서로의 감정이나 바라는 바를 진솔하게 표현하면서 갈등을 조정한다.</x:t>
  </x:si>
  <x:si>
    <x:t>[9국02-06]동일한 화제를 다룬 여러 글이나 자료를 주제 통합적으로 읽는다.</x:t>
  </x:si>
  <x:si>
    <x:t>[9국01-10]언어폭력의 문제점을 성찰하고,서로를 존중하는 표현을 사용하여 말한다.</x:t>
  </x:si>
  <x:si>
    <x:t>[9국01-07]토의에서 다양한 의견을 교환하여 대안을 마련하고 문제를 해결한다.</x:t>
  </x:si>
  <x:si>
    <x:t>[9국03-05]자신의 삶과 경험을 바탕으로 정서를 진솔하게 표현하는 글을 쓴다.</x:t>
  </x:si>
  <x:si>
    <x:t>[9국05-07]연관성이 있는 다른 작품들과의 관계를 파악하며 작품을 감상한다.</x:t>
  </x:si>
  <x:si>
    <x:t>[9과12-03]광합성 산물의 저장과 이용 과정을 이해하고,모형으로설명할수 있다.</x:t>
  </x:si>
  <x:si>
    <x:t>[9미01-02]시각 문화의 의미와 역할을 알고 이미지를 비판적으로 해석할 수 있다.</x:t>
  </x:si>
  <x:si>
    <x:t>[9생독04-02]간단하고 쉬운 대화문이나 텍스트를 상황과 목적에 맞게 작성한다.</x:t>
  </x:si>
  <x:si>
    <x:t>[9국01-08]토론에서 반론을 고려하여 타당한 논증을 구성하고 논리적으로 반박한다.</x:t>
  </x:si>
  <x:si>
    <x:t>[9국02-07]진로나 관심 분야에 대한 다양한 책이나 자료를 스스로 찾아 읽는다.</x:t>
  </x:si>
  <x:si>
    <x:t>[9국05-09]문학을 통해 타자를 이해하고 공동체의 문제에 참여하는 태도를 지닌다.</x:t>
  </x:si>
  <x:si>
    <x:t>[9과06-01]압력의 의미를 알고,기체의 압력을 입자의 운동으로 설명할 수 있다.</x:t>
  </x:si>
  <x:si>
    <x:t>[9과21-03]수정란으로부터 개체가 발생하는 과정을 모형으로 표현할 수 있다.</x:t>
  </x:si>
  <x:si>
    <x:t>[9국03-02]복수의 자료를 활용하여 다양한 형식으로 정보를 전달하는 글을 쓴다.</x:t>
  </x:si>
  <x:si>
    <x:t>[9생러02-01]낱말이나 간단하고 쉬운 구,문장을 강세와 억양에 유의하여 말한다.</x:t>
  </x:si>
  <x:si>
    <x:t>[9생러01-03]듣기 자료나 타인의 말을 듣고 그 의도를 파악하고 적절히 반응한다.</x:t>
  </x:si>
  <x:si>
    <x:t>[9생러02-02]간단하고 쉬운 의사소통 표현을 사용하여 상황에 맞게 대화한다.</x:t>
  </x:si>
  <x:si>
    <x:t>[9생러03-03]다양한 관점과 의견을 존중하며 읽기 활동에 자기주도적으로 참여한다.</x:t>
  </x:si>
  <x:si>
    <x:t>[9생러05-02]러시아의 주요 문화 내용을 러시아어 의사소통 상황에 활용한다.</x:t>
  </x:si>
  <x:si>
    <x:t>[9생베01-01]낱말이나 간단하고 쉬운 구,문장을 듣고 발음 및 성조를 식별한다.</x:t>
  </x:si>
  <x:si>
    <x:t>[9생베02-01]낱말이나 간단하고 쉬운 구,문장을 발음과 성조에 유의하여 말한다.</x:t>
  </x:si>
  <x:si>
    <x:t>[9생러03-02]낱말이나 간단하고 쉬운 구,문장을 읽고 의미와 내용을 이해한다.</x:t>
  </x:si>
  <x:si>
    <x:t xml:space="preserve"> 다항식의 덧셈과 뺄셈의 원리를 이해하고, 그 계산을 할 수 있다.</x:t>
  </x:si>
  <x:si>
    <x:t xml:space="preserve"> 두 일차함수의 그래프와 연립일차방정식의 관계를 설명할 수 있다.</x:t>
  </x:si>
  <x:si>
    <x:t xml:space="preserve"> 일차부등식을 풀 수 있고, 이를 활용하여 문제를 해결할 수 있다.</x:t>
  </x:si>
  <x:si>
    <x:t xml:space="preserve"> 이차함수의 그래프를 그릴 수 있고, 그 성질을 설명할 수 있다. </x:t>
  </x:si>
  <x:si>
    <x:t xml:space="preserve"> 이차방정식을 풀 수 있고, 이를 활용하여 문제를 해결할 수 있다.</x:t>
  </x:si>
  <x:si>
    <x:t xml:space="preserve"> 부등식과 그 해의 뜻을 알고, 부등식의 성질을 설명할 수 있다.</x:t>
  </x:si>
  <x:si>
    <x:t xml:space="preserve"> 일차함수와 미지수가 2개인 일차방정식의 관계를 설명할 수 있다.</x:t>
  </x:si>
  <x:si>
    <x:t>[9보01-05]건강에 대한 사회적 지지의 중요성을 인식하고 개인과 공동체의 건강옹호활동을 협력적으로탐색한다.</x:t>
  </x:si>
  <x:si>
    <x:t>[9과02-01]세포는 생명 활동이 일어나는 기본 단위임을 이해하고,세포의 구조와 기능의 관계를 추론할 수 있다.</x:t>
  </x:si>
  <x:si>
    <x:t>[9과02-05]생물다양성 보전의 필요성을 이해하고,생물다양성 유지를 위한 방안을 조사하고 실천할 수 있다.</x:t>
  </x:si>
  <x:si>
    <x:t>[9과03-02]열은 전도,대류,복사로 전달됨을 알고,열전달 과정을 모형 등을 사용하여 다양하게 표현할 수 있다.</x:t>
  </x:si>
  <x:si>
    <x:t>[9한01-02]한자가 만들어진 원리를 구별한다.</x:t>
  </x:si>
  <x:si>
    <x:t>[9생일05-01]일본 문화 내용을 이해한다.</x:t>
  </x:si>
  <x:si>
    <x:t>[9생일04-01]가나와 낱말을 바르게 쓴다.</x:t>
  </x:si>
  <x:si>
    <x:t>[9수04-05]경우의 수를 구할 수 있다.</x:t>
  </x:si>
  <x:si>
    <x:t>[9한01-01]한자의 모양⋅음⋅뜻을 구별한다.</x:t>
  </x:si>
  <x:si>
    <x:t>[9영02-02]대상이나 인물의 감정을 묘사한다.</x:t>
  </x:si>
  <x:si>
    <x:t>[9한01-04]단어와 성어를 읽고 풀이한다.</x:t>
  </x:si>
  <x:si>
    <x:t>[9생베05-03]베트남 문화에 대해 조사하고 정리한다.</x:t>
  </x:si>
  <x:si>
    <x:t>[9생러05-01]러시아의 주요 문화 내용을 이해한다.</x:t>
  </x:si>
  <x:si>
    <x:t>[9생스01-01]발음 규칙에 유의하여 낱말을 식별한다.</x:t>
  </x:si>
  <x:si>
    <x:t>[9생아05-01]간략한 아랍 문화 내용을 이해한다.</x:t>
  </x:si>
  <x:si>
    <x:t>[9국01-01]화자의 의도와 관점을 추론하며 듣는다.</x:t>
  </x:si>
  <x:si>
    <x:t>[9국01-02]설득 전략을 비판적으로 분석하며 듣는다.</x:t>
  </x:si>
  <x:si>
    <x:t>[9생독05-01]독일어권 주요 문화 내용을 이해한다.</x:t>
  </x:si>
  <x:si>
    <x:t>[9역01-02]다양한 자료와 사례를 통해 역사 탐구 방법을 익힌다.</x:t>
  </x:si>
  <x:si>
    <x:t>[9생러04-02]간단하고 쉬운 글을 상황과 목적에 맞게 작성한다.</x:t>
  </x:si>
  <x:si>
    <x:t>[9생독02-03]상대방을 존중하며 말하기 활동에 적극적으로 참여한다.</x:t>
  </x:si>
  <x:si>
    <x:t>[9생베05-04]베트남 문화에 대해 조사⋅정리한 내용을 설명한다.</x:t>
  </x:si>
  <x:si>
    <x:t>[9생스02-04]상대방을 존중하며 말하기 활동에 적극적으로 참여한다.</x:t>
  </x:si>
  <x:si>
    <x:t>[9수03-09]이등변삼각형의 성질을 이해하고 정당화할 수 있다.</x:t>
  </x:si>
  <x:si>
    <x:t>[9역11-01]조선 성립의 의의를 통치 체제의 특징을 통해 파악한다.</x:t>
  </x:si>
  <x:si>
    <x:t>[9수04-09]자료를 산점도로 나타내고 상관관계를 말할 수 있다.</x:t>
  </x:si>
  <x:si>
    <x:t>[9국04-03]품사의 종류와 특성을 이해하고 국어 자료를 분석한다.</x:t>
  </x:si>
  <x:si>
    <x:t>[9생러01-02]간단하고 쉬운 대화나 독백을 듣고 내용을 파악한다.</x:t>
  </x:si>
  <x:si>
    <x:t>[9역13-01]개항 이후 근대 국가를 건설하기 위한 노력을 파악한다.</x:t>
  </x:si>
  <x:si>
    <x:t>[9역13-03]한국의 민주화 과정에서 나타난 성과와 과제를 탐구한다.</x:t>
  </x:si>
  <x:si>
    <x:t>[9영01-03]친숙한 주제에 관한 담화나 글의 중심 내용을 파악한다.</x:t>
  </x:si>
  <x:si>
    <x:t>[9수03-17]삼각비를 활용하여 여러 가지 문제를 해결할 수 있다.</x:t>
  </x:si>
  <x:si>
    <x:t>[9역09-02]통일신라와 발해의 국가 체제 정비와 변동을 분석한다.</x:t>
  </x:si>
  <x:si>
    <x:t>[9영02-07]친숙한 주제에 관해 듣거나 읽고 내용을 요약한다.</x:t>
  </x:si>
  <x:si>
    <x:t>[9국05-06]자신의 경험을 개성적인 발상과 표현으로 형상화한다.</x:t>
  </x:si>
  <x:si>
    <x:t>[9생독01-01]낱말이나 간단한 구를 듣고 소리와 낱말을 식별한다.</x:t>
  </x:si>
  <x:si>
    <x:t>[9생스02-02]간단하고 쉬운 의사소통 표현을 상황에 맞게 말한다.</x:t>
  </x:si>
  <x:si>
    <x:t>[9생아04-01]자음과 모음,소리와 철자를 식별하여 바르게 쓴다.</x:t>
  </x:si>
  <x:si>
    <x:t>[9생아04-03]간단하고 쉬운 문장을 상황과 목적에 맞게 작성한다.</x:t>
  </x:si>
  <x:si>
    <x:t>[9생스01-04]간단하고 쉬운 말이나 대화를 듣고 내용을 이해한다.</x:t>
  </x:si>
  <x:si>
    <x:t>[9생스04-02]낱말이나 간단하고 쉬운 구,문장을 어법에 맞게 쓴다.</x:t>
  </x:si>
  <x:si>
    <x:t>[9생아04-02]낱말,간단하고 쉬운 구나 문장을 어법에 맞게 쓴다.</x:t>
  </x:si>
  <x:si>
    <x:t>[9생러02-03]타인을 존중하며 말하기 활동에 적극적으로 참여한다.</x:t>
  </x:si>
  <x:si>
    <x:t>[9생아05-03]간략한 아랍 문화 내용을 의사소통 상황에 활용한다.</x:t>
  </x:si>
  <x:si>
    <x:t>[9생일01-01]음성적 특징에 유의하여 듣고 문자와 낱말을 식별한다.</x:t>
  </x:si>
  <x:si>
    <x:t>[9생일02-04]상대방의 말을 존중하며 대화에 적극적으로 참여한다.</x:t>
  </x:si>
  <x:si>
    <x:t>[9생일05-02]일본 문화 내용을 조사⋅정리하여 보고서를 작성한다.</x:t>
  </x:si>
  <x:si>
    <x:t>[9수02-05]순서쌍과 좌표를 이해하고,그 편리함을 인식할 수 있다.</x:t>
  </x:si>
  <x:si>
    <x:t>[9국05-02]갈등의 진행과 해결 과정을 파악하며 작품을 감상한다.</x:t>
  </x:si>
  <x:si>
    <x:t>[9수03-14]평행선 사이의 선분의 길이의 비를 구할 수 있다.</x:t>
  </x:si>
  <x:si>
    <x:t>[9국04-02]단어의 짜임을 분석하여 새말 형성의 원리를 이해한다.</x:t>
  </x:si>
  <x:si>
    <x:t>[9국03-01]대상의 특성에 적합한 설명 방법을 활용하여 글을 쓴다.</x:t>
  </x:si>
  <x:si>
    <x:t>[9기가04-06]정보통신과 인공지능 기술 관련 문제를 이해하고 해결 방안을 탐색,실현,평가함으로써 긍정적인 문제 해결 태도를 갖는다.</x:t>
  </x:si>
  <x:si>
    <x:t>[9기가03-03]기술적 문제 해결 과정의 이해를 바탕으로 문제를 확인하고,정보를 수집하며,확산적사고와 수렴적 사고를 통해 해결방안을 탐색하고 대안을 선정한다.</x:t>
  </x:si>
  <x:si>
    <x:t>[9과14-03]저항의 직렬연결과 병렬연결의 특징을 비교하고,일상생활에서 전기 에너지가 다양한 형태의 에너지로 전환됨을 소비 전력과 관련지어 설명할 수 있다.</x:t>
  </x:si>
  <x:si>
    <x:t>[9기가03-05]발명의 개념을 이해하고,발명 문제 해결 과정을 바탕으로 발명 활동을 체험하여 창조에대한 자신감을 갖고 발명이 사회에 미친 영향과 가치를 인식한다.</x:t>
  </x:si>
  <x:si>
    <x:t>[9도02-04]인간을 관계적 존재로 해석할 수 있는 이유에 근거하여 타인과의 관계에서 필요한 가치⋅덕목을 탐구하고,타인의 생각과 감정에 공감하는 태도를 기른다.</x:t>
  </x:si>
  <x:si>
    <x:t>[9도04-01]인간 이외의 생명체를 도덕적으로 고려해야 하는 이유를 정당화하고,생명을 가진 존재들이 겪는 고통에 공감하며 생명을 소중히 여기는 태도를 기른다.</x:t>
  </x:si>
  <x:si>
    <x:t>[9환01-01]일상생활이 환경에 미치는 영향과 환경이 일상생활에 미치는 영향을 조사하여 인간과 환경의관계를 탐색하고,환경에 대한 우리의 역할과 책임을 인식한다.</x:t>
  </x:si>
  <x:si>
    <x:t>[9도04-02]자연에 대한 동양과 서양의 주요 입장들을 토대로 인간과 자연의 바람직한 관계를 도출하고,환경 위기에 대한 윤리적 책임을 구체화하여 실천할 수 있다.</x:t>
  </x:si>
  <x:si>
    <x:t>[9도03-07]현대 과학기술과 관련된 윤리적 쟁점의 분석을 통해 과학기술의 유용성과 한계를 인식하고,과학기술의 바람직한 활용에 관한 관심과 책임 의식을 기른다.</x:t>
  </x:si>
  <x:si>
    <x:t>[9도01-06]내면에 대한 성찰을 통해 심리적 고통과 불안,우울감 등의 원인을 찾고,마음의 평온을 얻을 수 있는 방안들을 다각적으로 모색하여 실천할 수 있다.</x:t>
  </x:si>
  <x:si>
    <x:t>[9보03-05]임신,피임에 대한 이해를 바탕으로 십대의 임신과 미혼 부모 문제가 개인과 사회에 미치는 영향을 분석하고 건강에 유익한 선택과 자원을 지지한다.</x:t>
  </x:si>
  <x:si>
    <x:t>[9사(지리)11-02]분단이 우리의 일상생활에 미친 영향을 살펴보고,분리와 연결의 공간으로서 접경지역의 다양한 모습을 세계 여러 지역의 사례를 통해 비교한다.</x:t>
  </x:si>
  <x:si>
    <x:t>[9기가01-01]자아 존중감을 향상시키고 긍정적인 자아 정체성을 형성하기 위해 청소년기의 발달 특징을 자신의 발달 특징과 연결 지어 자신을 총체적으로 이해한다.</x:t>
  </x:si>
  <x:si>
    <x:t>[9기가01-02]의생활,식생활이 청소년기 성장과 건강에 미치는 영향을 탐색하고 성장과 건강을 위해 바람직한 의생활과 식생활의 실천 방안을 탐색하여 이를 실천한다.</x:t>
  </x:si>
  <x:si>
    <x:t>[9수03-08]입체도형의 겉넓이와 부피를 구할 수 있다.</x:t>
  </x:si>
  <x:si>
    <x:t>[9체01-01]체력 증진의 의미를 이해하고 원리를 분석한다.</x:t>
  </x:si>
  <x:si>
    <x:t>[9생스05-03]스페인어권의 주요 문화 내용을 조사⋅정리한다.</x:t>
  </x:si>
  <x:si>
    <x:t>[9수03-03]삼각형을 작도하고,그 과정을 설명할 수 있다.</x:t>
  </x:si>
  <x:si>
    <x:t>[9영02-04]친숙한 주제에 관해 경험이나 계획을 설명한다.</x:t>
  </x:si>
  <x:si>
    <x:t>[9수01-09]실수의 대소 관계를 판단하고 설명할 수 있다.</x:t>
  </x:si>
  <x:si>
    <x:t>[9생러01-01]발음 규칙에 유의하여 철자,낱말을 식별한다.</x:t>
  </x:si>
  <x:si>
    <x:t>[9수03-05]다각형의 성질을 이해하고 설명할 수 있다.</x:t>
  </x:si>
  <x:si>
    <x:t>[9생아05-02]간략한 아랍 문화 내용을 조사하고 정리한다.</x:t>
  </x:si>
  <x:si>
    <x:t>[9수03-15]피타고라스 정리를 이해하고 정당화할 수 있다.</x:t>
  </x:si>
  <x:si>
    <x:t>[9수03-19]원주각의 성질을 이해하고 정당화할 수 있다.</x:t>
  </x:si>
  <x:si>
    <x:t>[9영01-07]단어,어구,문장의 함축적 의미를 추론한다.</x:t>
  </x:si>
  <x:si>
    <x:t>[9생스05-01]스페인어권의 주요 문화 내용을 이해한다.</x:t>
  </x:si>
  <x:si>
    <x:t>[9영02-03]친숙한 주제에 관해 사실적 정보를 설명한다.</x:t>
  </x:si>
  <x:si>
    <x:t>[9생스04-01]낱말이나 간단하고 쉬운 구,문장을 받아쓴다.</x:t>
  </x:si>
  <x:si>
    <x:t>[9영01-09]다양한 관점을 존중하는 태도로 듣거나 읽는다.</x:t>
  </x:si>
  <x:si>
    <x:t>[9역08-03]삼국과 가야가 남긴 문화의 특징을 분석한다.</x:t>
  </x:si>
  <x:si>
    <x:t>[9역12-02]조선 후기 문화에서 나타난 변화를 분석한다.</x:t>
  </x:si>
  <x:si>
    <x:t>[9영02-06]친숙한 주제에 관해 자신의 의견을 주장한다.</x:t>
  </x:si>
  <x:si>
    <x:t>[9영02-08]간단한 일기,편지,이메일 등의 글을 쓴다.</x:t>
  </x:si>
  <x:si>
    <x:t>[9생독01-03]상대방의 말을 경청하며 적극적으로 호응한다.</x:t>
  </x:si>
  <x:si>
    <x:t>[9생중01-01]발음을 듣고 성모,운모,성조를 변별한다.</x:t>
  </x:si>
  <x:si>
    <x:t>[9생독05-02]독일어권 주요 문화 내용을 조사하여 설명한다.</x:t>
  </x:si>
  <x:si>
    <x:t>[9수01-04]정수와 유리수의 대소 관계를 판단할 수 있다.</x:t>
  </x:si>
  <x:si>
    <x:t>[9수03-11]사각형의 성질을 이해하고 정당화할 수 있다.</x:t>
  </x:si>
  <x:si>
    <x:t>[9체01-05]운동 처방의 의미를 이해하고 원리를 분석한다.</x:t>
  </x:si>
  <x:si>
    <x:t>[9체03-04]전통 표현의 역사와 특성을 탐색하고 비교한다.</x:t>
  </x:si>
  <x:si>
    <x:t>[9체01-12]사회적으로 적합한 건강 활동 방법을 실천한다.</x:t>
  </x:si>
  <x:si>
    <x:t>[9체03-07]현대 표현의 역사와 특성을 탐색하고 비교한다.</x:t>
  </x:si>
  <x:si>
    <x:t>[9체01-03]체력 관리의 의미를 이해하고 원리를 분석한다.</x:t>
  </x:si>
  <x:si>
    <x:t>[9체03-01]스포츠 표현의 역사와 특성을 탐색하고 비교한다.</x:t>
  </x:si>
  <x:si>
    <x:t>[9역09-03]통일신라와 발해 문화의 특징을 파악한다.</x:t>
  </x:si>
  <x:si>
    <x:t>[9역08-02]삼국과 가야의 성장 과정을 파악한다.</x:t>
  </x:si>
  <x:si>
    <x:t>[9영02-11]상대방을 배려하는 태도로 말하거나 쓴다.</x:t>
  </x:si>
  <x:si>
    <x:t>[9한02-04]글의 내용을 이해하고 주제를 파악한다.</x:t>
  </x:si>
  <x:si>
    <x:t>[9환01-03]오감을 활용해 자연을 체험하고,자연의 아름다움이나 변화,훼손 등에 대한 생각과 감정을 다양한 방법으로 표현한다.</x:t>
  </x:si>
  <x:si>
    <x:t>[9환04-04]지속가능한 미래를 위한 기후위기 대응 방향을 토의하고,개인적⋅지역적⋅국가적 차원의 기후행동 사례를 탐구한다.</x:t>
  </x:si>
  <x:si>
    <x:t>[9생중05-04]중국 문화에 대해 호기심을 갖고 수업이나 과제 활동에 적극적으로 참여한다.</x:t>
  </x:si>
  <x:si>
    <x:t>[9생일01-03]일상생활과 관련된 간단하고 쉬운 글이나 대화를 듣고 내용을 파악한다.</x:t>
  </x:si>
  <x:si>
    <x:t>[9생중04-01]기초적인 낱말이나 구,간단하고 쉬운 문장을 한어병음이나 한자로 쓴다.</x:t>
  </x:si>
  <x:si>
    <x:t>[9생중05-01]기본적인 중국 문화 내용을 이해하여 중국어 의사소통 상황에 활용한다.</x:t>
  </x:si>
  <x:si>
    <x:t>[9수01-10]근호를 포함한 식의 사칙계산의 원리를 이해하고,그 계산을 할 수 있다.</x:t>
  </x:si>
  <x:si>
    <x:t>[9생베01-04]간단하고 쉬운 듣기 자료나 상대방의 말을 경청하고 적절하게 반응한다.</x:t>
  </x:si>
  <x:si>
    <x:t>[9생중02-03]간단한 의사소통 표현을 상황에 맞게 자신감을 가지고 적극적으로 말한다.</x:t>
  </x:si>
  <x:si>
    <x:t>[9수03-12]도형의 닮음의 뜻과 닮은 도형의 성질을 이해하고,닮음비를 구할 수 있다.</x:t>
  </x:si>
  <x:si>
    <x:t>[9역01-01]역사와 역사 탐구의 의미를 파악하고,역사 학습의 목적을 다각도로 탐색한다.</x:t>
  </x:si>
  <x:si>
    <x:t>[9역03-01]수⋅당 시기 동아시아 국제 질서의 특징을 이해하고,동아시아 문화를 탐구한다.</x:t>
  </x:si>
  <x:si>
    <x:t>[9생독03-02]낱말이나 간단한 구,간단하고 쉬운 문장을 읽고 의미와 내용을 파악한다.</x:t>
  </x:si>
  <x:si>
    <x:t>[9영01-04]친숙한 주제에 관한 담화나 글에서 일이나 사건의 논리적 관계를 파악한다.</x:t>
  </x:si>
  <x:si>
    <x:t>[9수04-03]상대도수를 구하고,상대도수의 분포를 표나 그래프로 나타내고 해석할 수 있다.</x:t>
  </x:si>
  <x:si>
    <x:t>[9생스02-01]낱말이나 간단하고 쉬운 구,문장을 발음⋅강세⋅억양에 유의하여 말한다.</x:t>
  </x:si>
  <x:si>
    <x:t>[9영01-06]친숙한 주제에 관한 담화나 글에서 화자나 필자의 의도나 목적을 추론한다.</x:t>
  </x:si>
  <x:si>
    <x:t>[9영01-08]적절한 전략을 활용하여 다양한 매체로 표현된 담화나 글을 듣거나 읽는다.</x:t>
  </x:si>
  <x:si>
    <x:t>[9생독05-04]독일어권 문화에 대해 호기심을 갖고 탐구 활동에 적극적으로 참여한다.</x:t>
  </x:si>
  <x:si>
    <x:t>[9생일03-01]음성적 특징에 유의하여 낱말,간단하고 쉬운 구나 문장을 소리 내어 읽는다.</x:t>
  </x:si>
  <x:si>
    <x:t>[9생중05-03]중국 문화를 직간접적으로 체험하고,다양한 매체를 활용하여 정보를 공유한다.</x:t>
  </x:si>
  <x:si>
    <x:t>[9생중02-02]기초적인 낱말이나 구,간단하고 쉬운 문장을 활용하여 질문하거나 대답한다.</x:t>
  </x:si>
  <x:si>
    <x:t>[9수02-07]정비례,반비례 관계를 이해하고,그 관계를 표,식,그래프로 나타낼 수 있다.</x:t>
  </x:si>
  <x:si>
    <x:t>[9생베05-05]상호문화적 관점에서 한국 문화와 베트남 문화의 공통점과 차이점을 이해한다.</x:t>
  </x:si>
  <x:si>
    <x:t>[9수04-08]공학 도구를 이용하여 자료를 상자그림으로 나타내고 분포를 비교할 수 있다.</x:t>
  </x:si>
  <x:si>
    <x:t>[9생러05-03]러시아 문화에 관심을 가지고 수업이나 과제 활동에 자기주도적으로 참여한다.</x:t>
  </x:si>
  <x:si>
    <x:t>[9수03-18]원의 현에 관한 성질과 접선에 관한 성질을 이해하고 정당화할 수 있다.</x:t>
  </x:si>
  <x:si>
    <x:t>[9역10-01]후삼국 통일과 체제 정비 과정을 통해 고려 성립의 역사적 의미를 탐색한다.</x:t>
  </x:si>
  <x:si>
    <x:t>[9생베01-03]일상생활과 관련된 간단하고 쉬운 글이나 대화를 듣고 주요 정보를 파악한다.</x:t>
  </x:si>
  <x:si>
    <x:t>[9생아02-03]간단하고 쉬운 구나 문장으로 주변의 대상이나 상황을 묘사하거나 설명한다.</x:t>
  </x:si>
  <x:si>
    <x:t>[9역10-03]원 간섭기 고려 사회에 나타난 변화를 파악하고 개혁의 영향을 탐구한다.</x:t>
  </x:si>
  <x:si>
    <x:t>[9생독05-03]독일어권 주요 문화 내용을 이해하여 독일어 의사소통 상황에 활용한다.</x:t>
  </x:si>
  <x:si>
    <x:t>[9생아03-01]낱말,간단하고 쉬운 구나 문장을 발음 규칙에 유의하여 소리 내어 읽는다.</x:t>
  </x:si>
  <x:si>
    <x:t>[9생일05-04]언어문화⋅비언어 문화를 포함한 일본 문화 내용을 의사소통 상황에 활용한다.</x:t>
  </x:si>
  <x:si>
    <x:t>[9음01-01]다양한 주법과 표현 기법을 향상시켜 노래나 악기로 개성 있게 연주한다.</x:t>
  </x:si>
  <x:si>
    <x:t>[9음02-02]다양한 시대와 문화권의 음악을 듣고 음악적 특징과 음악의 구성을 파악한다.</x:t>
  </x:si>
  <x:si>
    <x:t>[9정05-01]디지털 사회의 특성을 탐구하고,사회 변화에 따른 직업의 변화를 탐구한다.</x:t>
  </x:si>
  <x:si>
    <x:t>[9진로02-05]고등학교의 유형,특성,교육과정에 대한 정보를 통해 교육 기회를 탐색한다.</x:t>
  </x:si>
  <x:si>
    <x:t>[9체01-09]정신 건강의 의미를 이해하고 정신 건강 활동의 종류와 특성을 분석한다.</x:t>
  </x:si>
  <x:si>
    <x:t>[9한02-06]글에 담긴 전통문화의 의미와 가치를 알고 소중하게 여기는 태도를 기른다.</x:t>
  </x:si>
  <x:si>
    <x:t>[9정03-06]논리 연산과 중첩 제어 구조를 활용하여 문제를 해결하는 프로그램을 작성한다.</x:t>
  </x:si>
  <x:si>
    <x:t>[9체01-07]신체 건강의 의미를 이해하고 신체 건강 활동의 종류와 특성을 분석한다.</x:t>
  </x:si>
  <x:si>
    <x:t>[9영01-10]자신의 관심사에 관한 다양한 담화나 글을 선택하여 적극적으로 듣거나 읽는다.</x:t>
  </x:si>
  <x:si>
    <x:t>[9음03-02]오선보,정간보 등의 기보법을 활용하여 조건에 따라 악곡의 일부를 바꾼다.</x:t>
  </x:si>
  <x:si>
    <x:t>[9진로01-04]일과 여가의 의미와 상호 관계를 이해하고 조화롭고 행복한 삶을 생각한다.</x:t>
  </x:si>
  <x:si>
    <x:t>[9진로02-02]진로 경로의 다양성과 가변성을 이해하고,유연한 진로 탐색 태도를 함양한다.</x:t>
  </x:si>
  <x:si>
    <x:t>[9정03-04]사례를 중심으로 문제 해결에 적합한 전략을 선택하여 알고리즘을 설계한다.</x:t>
  </x:si>
  <x:si>
    <x:t>[9정01-03]문제 해결 목적에 맞는 피지컬 컴퓨팅 구성요소를 선택하여 시스템을 구상한다.</x:t>
  </x:si>
  <x:si>
    <x:t>[9진로01-02]다양한 방법으로 자신의 진로 특성을 파악하고 긍정적 자아 개념을 갖는다.</x:t>
  </x:si>
  <x:si>
    <x:t>[9음02-03]다양한 시대⋅사회⋅문화권의 음악을 듣고 음악의 배경과 역할을 비교한다.</x:t>
  </x:si>
  <x:si>
    <x:t>[9한02-05]글에 담긴 선인들의 지혜를 이해하여 미래 사회에 필요한 인성을 함양한다.</x:t>
  </x:si>
  <x:si>
    <x:t>[9체01-14]건강 활동을 자율적으로 실천하며 자신과 공동체에 대한 안전을 추구한다.</x:t>
  </x:si>
  <x:si>
    <x:t>[9진로03-01]진로의사결정의 방법과 고려 사항을 이해하고 진로를 잠정적으로 결정한다.</x:t>
  </x:si>
  <x:si>
    <x:t>[9과02-02]생물의 유기적 구성 단계를 이해하고,동물과 식물을 비교하여 분석할 수 있다.</x:t>
  </x:si>
  <x:si>
    <x:t>[9과07-04]달을 관측하여 달의 위상변화 원리를 이해하고,일식과 월식을 설명할 수 있다.</x:t>
  </x:si>
  <x:si>
    <x:t>[9과04-03]여러 가지 물질의 상태 변화를 관찰하고,이를 입자 모형으로 설명할 수 있다.</x:t>
  </x:si>
  <x:si>
    <x:t>[9과09-04]풍화 과정을 이해하고,토양 생성 과정을 풍화 작용의 예로 설명할 수 있다.</x:t>
  </x:si>
  <x:si>
    <x:t>[9과02-04]종의 개념과 분류 체계를 이해하고,생물을 계 수준에서 분류할 수 있다.</x:t>
  </x:si>
  <x:si>
    <x:t>[9과11-01]원소와 화합물의 정의를 알고,원소와 화합물을 화학식으로 표현할 수 있다.</x:t>
  </x:si>
  <x:si>
    <x:t>[9과04-02]물질의 세 가지 상태의 특징을 설명하고,이를 입자 모형으로 표현할 수 있다.</x:t>
  </x:si>
  <x:si>
    <x:t>[9과15-02]우리은하의 구조와 크기를 이해하고,성운과 성단의 특징을 비교할 수 있다.</x:t>
  </x:si>
  <x:si>
    <x:t>[9국01-03]담화 공동체에 따른 듣기⋅말하기 방식의 다양성을 고려하여 듣고 말한다.</x:t>
  </x:si>
  <x:si>
    <x:t>[9과08-02]물질의 특성을 근거로 우리 주변의 물질을 순물질과 혼합물로 분류할 수 있다.</x:t>
  </x:si>
  <x:si>
    <x:t>[9미02-04]자신과 타인의 작품을 존중하며,다양한 방법으로 공유하고 소통할 수 있다.</x:t>
  </x:si>
  <x:si>
    <x:t>[9국01-11]듣기⋅말하기 과정을 점검하고 듣기⋅말하기의 어려움을 효과적으로 조정한다.</x:t>
  </x:si>
  <x:si>
    <x:t>[9기가03-08]설계의 가치와 필요성을 인식하고,제도의 기본 통칙에 따라 도면을 작성한다.</x:t>
  </x:si>
  <x:si>
    <x:t>[9미01-04]삶과 미술의 관계를 이해하고 다양한 분야와의 연결 방안을 모색할 수 있다.</x:t>
  </x:si>
  <x:si>
    <x:t>[9미02-05]미술 표현 과정에서의 경험을 성찰하고 삶의 문제 해결에 활용할 수 있다.</x:t>
  </x:si>
  <x:si>
    <x:t>[9국01-05]면담의 다양한 목적과 상대를 고려하여 질문을 점검하고 효과적으로 면담한다.</x:t>
  </x:si>
  <x:si>
    <x:t>[9미03-02]작품의 내용과 형식을 분석하고 미술 용어와 지식을 활용하여 설명할 수 있다.</x:t>
  </x:si>
  <x:si>
    <x:t>[9보01-04]건강문제와 건강생활기술을 탐색하여 질병을 예방할 수 있도록 건강을 관리한다.</x:t>
  </x:si>
  <x:si>
    <x:t>[9사(일사)05-03]재판의 의미와 종류를 설명하고,공정한 재판의 중요성에 대해 토의한다.</x:t>
  </x:si>
  <x:si>
    <x:t>[9국06-02]소통 맥락과 수용자 참여 양상을 고려하여 상호 작용적 매체를 분석한다.</x:t>
  </x:si>
  <x:si>
    <x:t>[9기가02-02]한국인 영양소 섭취기준과 식사구성안을 바탕으로 균형 잡힌 식사를 계획한다.</x:t>
  </x:si>
  <x:si>
    <x:t>[9보01-02]몸과 마음의 신호와 건강지표를 통해 건강상태를 평가하여 건강관리에 적용한다.</x:t>
  </x:si>
  <x:si>
    <x:t>[9사(일사)07-01]우리나라의 정부 형태를 설명하고,대통령과 행정부의 역할을 탐색한다.</x:t>
  </x:si>
  <x:si>
    <x:t>[9국01-04]상대의 말을 경청하고 상대의 감정과 입장에 공감하는 반응을 보이며 대화한다.</x:t>
  </x:si>
  <x:si>
    <x:t>[9국04-05]피동 표현과 인용 표현의 의도와 효과를 분석하고 상황에 맞게 활용한다.</x:t>
  </x:si>
  <x:si>
    <x:t>[9생독02-01]낱말이나 간단한 구,간단하고 쉬운 문장을 발음 규칙에 유의하여 말한다.</x:t>
  </x:si>
  <x:si>
    <x:t>[9기가02-04]개인과 가족의 영양 요구와 지속가능성을 충족하는 식사를 계획하고 조리한다.</x:t>
  </x:si>
  <x:si>
    <x:t>[9사(지리)10-02]글로벌 경제와 우리나라 산업에서 영⋅호남 공업 지역의 위상을 파악하고,영⋅호남지역의 산업 변화와 당면 과제를 조사한다.</x:t>
  </x:si>
  <x:si>
    <x:t>[9사(지리)07-01]우리 국토의 위치와 영역에 대한 이해를 바탕으로 세계 속에서 우리나라의 위치를 지정학,지경학적 측면에서 탐색한다.</x:t>
  </x:si>
  <x:si>
    <x:t>[9과01-03]인류의 지속가능한 삶을 위한 과학기술의 중요성과 역할에 대해 토의하고,개인과 사회 차원의 활동 방안을 찾아 실천할 수 있다.</x:t>
  </x:si>
  <x:si>
    <x:t>[9도02-02]친구의 의미와 가치를 삶의 맥락 속에서 탐구하고,서로를 인격적으로 존중하는 친구 관계를 상상하며 이를 실현하는 의지를 기른다.</x:t>
  </x:si>
  <x:si>
    <x:t>[9보04-01]건강안전의 의미와 위험요인을 탐구하여 질병과 사고를 예방하고 관리하며 건강안전 지향적환경 개선에 적극적인 태도를 갖는다.</x:t>
  </x:si>
  <x:si>
    <x:t>[9과05-04]다양한 사례에서 작용하는 힘과 힘의 평형 관계를 설명하고,일상생활에서 힘의 특징을 이용한 기구나 장치를 설계할 수 있다.</x:t>
  </x:si>
  <x:si>
    <x:t>[9기가03-12]다양한 수송 수단과 물류 체제를 이해하고 발달과정 및 특징과 혁신적인 활용 사례를 조사하여 수송 분야의 발달을 전망한다.</x:t>
  </x:si>
  <x:si>
    <x:t>[9과15-01]연주시차를 이용하여 별까지의 거리를 구할 수 있고,별의 등급과 밝기의 관계 및 표면 온도와 색의 관계를 설명할 수 있다.</x:t>
  </x:si>
  <x:si>
    <x:t>[9보02-04]감정과 스트레스의 적절한 인식과 표현,지지와 공감 및 다양성 존중을 통해 관계 속에서 행복함과 건강한 관계 맺기를 보여준다.</x:t>
  </x:si>
  <x:si>
    <x:t>[9보03-03]성적자기결정권을 균형 있게 탐색하여 안전하고 행복한 대처전략을 세우고 이성 교제 시 경계를 존중하고 배려하는 자세를 갖는다.</x:t>
  </x:si>
  <x:si>
    <x:t>[9과10-03]물체의 색을 빛의 반사와 관련지어 설명하고,영상 장치에서 빛의 합성을 이용하여 다양한색이 표현되는 원리를 이해할 수 있다.</x:t>
  </x:si>
  <x:si>
    <x:t>[9국02-01]읽기는 사회⋅문화적 맥락에서 의미를 구성하는 과정임을 이해하며 사회적 독서에 참여하고 사회적 독서 문화 형성에 기여한다.</x:t>
  </x:si>
  <x:si>
    <x:t>[9과10-02]평면거울에서 상이 생기는 원리를 설명하고,일상생활에서 사용되는 거울과 렌즈의 종류를분류하고 상의 특징을 비교할 수 있다.</x:t>
  </x:si>
  <x:si>
    <x:t>[9사(일사)03-03]현대 민주주의의 특징과 과제를 검토하고,우리나라 민주주의의 발전을 위한 제도적방안과 시민의 역할에 대해 토의한다.</x:t>
  </x:si>
  <x:si>
    <x:t>[9사(지리)02-02]종교와 관련된 아시아의 다양한 문화경관과 생활양식을 파악하고,세계시민으로서 문화다양성에 대한 이해와 수용성을 높인다.</x:t>
  </x:si>
  <x:si>
    <x:t>[9기가04-05]정보통신과 인공지능 기술의 활용 사례를 탐구하고,정보통신과 인공지능 기술이우리 삶에 미치는 영향을 다양한 관점에서 평가한다.</x:t>
  </x:si>
  <x:si>
    <x:t>[9기가04-09]로봇에 활용되고 있는 제어 및 자동화 기술 등을 탐구하여 간단한 로봇을 제작하고평가함으로써 창조에 대한 자신감을 갖는다.</x:t>
  </x:si>
  <x:si>
    <x:t>[9사(지리)05-01]다양한 지리 정보와 매체를 활용하여 아메리카의 국가와 주요 도시의 위치를 파악하고 자연환경의 특성을 지도로 표현한다.</x:t>
  </x:si>
  <x:si>
    <x:t>[9사(지리)03-01]다양한 지리 정보와 매체를 활용하여 유럽의 국가와 주요 도시의 위치를 파악하고 자연환경의 특성을 지도로 표현한다.</x:t>
  </x:si>
  <x:si>
    <x:t>[9도03-04]정의로운 사회를 상상해보고,이를 실현할 수 있는 정의의 원칙과 제도에 대한 다양한 의견들을 민주적인 방식으로 종합할 수 있다.</x:t>
  </x:si>
  <x:si>
    <x:t>[9기가01-11]대인 관계에서 발생하는 갈등의 원인과 배경을 분석하고,효과적인 의사소통을 통해갈등을 해결하는 방안을 탐색하여 이를 적용한다.</x:t>
  </x:si>
  <x:si>
    <x:t>[9사(일사)12-03]사회 변동과 사회문제에 대응하는 국내외의 사례들을 검토하고,시민으로서 지녀야 할 태도와 실천 방안에 대해 토의한다.</x:t>
  </x:si>
  <x:si>
    <x:t>[9기가04-12]기술적 문제에 대한 도전적 태도로 다양한 분야에 활용되고 있는 융합 기술의 사례를 탐구하고 미래의 기술 변화를 전망한다.</x:t>
  </x:si>
  <x:si>
    <x:t>[9사(지리)04-01]다양한 지리 정보와 매체를 활용하여 아프리카의 국가와 주요 도시의 위치를 파악하고 자연환경의 특성을 지도로 표현한다.</x:t>
  </x:si>
  <x:si>
    <x:t>[9사(일사)04-03]민주주의의 발전을 위한 지방 자치의 중요성을 설명하고,지역사회의 문제를 해결하기 위한 시민 참여 활동을 계획한다.</x:t>
  </x:si>
  <x:si>
    <x:t>[9사(지리)02-01]다양한 지리 정보와 매체를 활용하여 아시아의 국가와 주요 도시의 위치를 파악하고 자연환경의 특성을 지도로 표현한다.</x:t>
  </x:si>
  <x:si>
    <x:t>[9국02-05]글에 사용된 다양한 설명 방법과 논증 방법을 파악하고,그 타당성을 평가하며 읽는다.</x:t>
  </x:si>
  <x:si>
    <x:t>[9과18-02]해수의 수온과 염분의 분포 및 변화를 해석하여 해수의 특성을 설명할 수 있다.</x:t>
  </x:si>
  <x:si>
    <x:t>[9국01-06]다양한 자료를 재구성하여 내용을 체계적으로 조직하고 청중이 이해하기 쉽게 발표한다.</x:t>
  </x:si>
  <x:si>
    <x:t>[9기가01-04]의복디자인 요소를 고려한 자기이미지에 맞는 옷차림으로 자신을 긍정적으로 표현한다.</x:t>
  </x:si>
  <x:si>
    <x:t>[9보01-03]건강한 수면,식습관,신체활동에 대해 알아보고 건강생활습관을 계획하고 실천한다.</x:t>
  </x:si>
  <x:si>
    <x:t>[9국05-08]근거를 바탕으로 작품을 해석하고,다른 해석들과 비교하여 자신의 해석을 평가한다.</x:t>
  </x:si>
  <x:si>
    <x:t>[9기가02-03]건강과 환경을 고려한 식품의 선택,관리,보관 방법을 탐색하여 실생활에 적용한다.</x:t>
  </x:si>
  <x:si>
    <x:t>[9국03-08]쓰기 과정과 전략을 점검⋅조정하며 글을 쓰고,독자를 고려하여 글을 고쳐 쓴다.</x:t>
  </x:si>
  <x:si>
    <x:t>[9미02-02]주도적이고 도전적인 태도로 다양한 미술 표현을 실험하고 작품에 적용할 수 있다.</x:t>
  </x:si>
  <x:si>
    <x:t>[9보01-01]건강의 개념과 영향요인,건강관리 모델을 탐구하여 건강을 관리하는 태도를 갖는다.</x:t>
  </x:si>
  <x:si>
    <x:t>[9역05-02]서양의 산업화와 제국주의 정책을 이해하고,사회와 생태환경에 미친 영향을 분석한다.</x:t>
  </x:si>
  <x:si>
    <x:t>[9과19-02]자유 낙하하는 물체의 운동에서 시간에 따른 속력의 변화가 일정함을 분석할 수 있다.</x:t>
  </x:si>
  <x:si>
    <x:t>[9과22-02]과학적 원리를 이용하여 재해⋅재난에 대한 대비 및 대처 방안을 세울 수 있다.</x:t>
  </x:si>
  <x:si>
    <x:t>[9국02-08]자신의 독서 상황과 수준에 맞는 글을 선정하고 읽기 과정을 점검⋅조정하며 읽는다.</x:t>
  </x:si>
  <x:si>
    <x:t>[9기가03-11]에너지와 관련된 문제를 발견하고 창의적인 해결방안을 탐색하여 실현하고 평가한다.</x:t>
  </x:si>
  <x:si>
    <x:t>[9국03-06]다양한 표현을 활용하여 자신의 생각과 느낌이 드러나는 글을 쓰고 독자와 공유한다.</x:t>
  </x:si>
  <x:si>
    <x:t>[9보05-03]기후변화와 건강의 관계를 탐색하고,지속가능한 사회를 위한 개인과 공동체의 건강옹호활동을 탐구하고 실천한다.</x:t>
  </x:si>
  <x:si>
    <x:t>[9사(일사)10-01]우리나라의 경제 성장 전후 모습을 검토하고,국내 총생산의 증가가 우리 생활에미치는 영향에 대해 토의한다.</x:t>
  </x:si>
  <x:si>
    <x:t>[9사(일사)08-01]경제생활에서 합리적 선택의 필요성에 대해 검토하고,비용과 편익을 고려한 합리적선택 방안을 탐색한다.</x:t>
  </x:si>
  <x:si>
    <x:t>[9기가01-07]자기 이해를 기반으로 전 생애적 관점에서 진로 설계의 중요성을 인식하고,자기 적성에맞는 진로를 설계한다.</x:t>
  </x:si>
  <x:si>
    <x:t>[9보04-03]감염병과 면역의 원리를 이해하고 개인과 공동체가 지켜야 할 건강수칙을 탐색하여 근거와 함께 제안하고 실천한다.</x:t>
  </x:si>
  <x:si>
    <x:t>[9사(지리)02-04]글로컬 관점에서 아시아의 산업 특징과 변화를 파악하고,이것이 우리나라 산업에미치는 영향을 탐색한다.</x:t>
  </x:si>
  <x:si>
    <x:t>[9사(일사)09-03]시장경제에서 수요와 공급을 변화시키는 요인을 조사하고,시장 가격의 변동에 대응하는 방안을 계획한다.</x:t>
  </x:si>
  <x:si>
    <x:t>[9사(일사)11-03]우리나라가 직면하고 있는 국제 문제에 대해 조사하고,이러한 문제에 대응하기 위한방안에 대해 토론한다.</x:t>
  </x:si>
  <x:si>
    <x:t>[9사(일사)02-03]여러 집단에서 나타나는 다양한 문화 사례들을 조사하고,문화를 이해하는 바람직한태도에 대하여 토의한다.</x:t>
  </x:si>
  <x:si>
    <x:t>[9보04-05]응급의료체계의 활용 방안을 탐색하고 심폐소생술과 자동심장충격기의 원리와 사용법을 익혀협력적으로 바르게 적용한다.</x:t>
  </x:si>
  <x:si>
    <x:t>[9사(일사)01-01]사회화의 의미를 일상생활의 사례를 들어 설명하고,사회화 과정에서 형성되는 자아정체성에 대해 성찰한다.</x:t>
  </x:si>
  <x:si>
    <x:t>[9사(일사)08-02]일생 동안 이루어지는 경제생활을 분석하고,안정적인 금융 생활을 위한 자산 및신용 관리 방안을 계획한다.</x:t>
  </x:si>
  <x:si>
    <x:t>[9사(일사)10-03]세계화 시대에 국제 거래가 이루어지는 사례를 탐색하고,환율 변동이 우리 생활에 미치는 영향을 조사한다.</x:t>
  </x:si>
  <x:si>
    <x:t>[9기가03-10]친환경 에너지 자원의 특성을 이해하고,종류와 활용 사례를 조사하여 친환경 에너지 개발의 중요성을 인식한다.</x:t>
  </x:si>
  <x:si>
    <x:t>[9정05-02]디지털 사회의 구성원으로서 편리하고 안전한 생활을 위한 규칙에 대해 민주적으로 논의하고 실천 방안을 수립한다.</x:t>
  </x:si>
  <x:si>
    <x:t>[9사(일사)03-01]공동체 생활에 필요한 정치의 역할을 탐색하고,다양한 정치 사례를 통해 민주주의의의미와 필요성을 도출한다.</x:t>
  </x:si>
  <x:si>
    <x:t>[9보03-04]성폭력⋅성매개감염병 등 성 건강 위험요소를 미디어 문해력 및 성문화와 관련지어 탐색하고건강하게 관리⋅옹호한다.</x:t>
  </x:si>
  <x:si>
    <x:t>[9사(일사)01-03]우리사회에 나타나는 다양한 갈등과 차별의 사례를 조사하고,이에 대처하는 시민의 자질에 대해 토의한다.</x:t>
  </x:si>
  <x:si>
    <x:t>[9사(지리)03-02]다양한 유형의 유럽 도시를 탐색하고,기후위기에 대응하여 지속가능한 도시를 만들기 위한 노력을 조사한다.</x:t>
  </x:si>
  <x:si>
    <x:t>[9역05-03]제국주의 열강의 침략에 대한 아시아의 대응 및 국민 국가 건설 노력을 이해하고,그 성과와 한계를 평가한다.</x:t>
  </x:si>
  <x:si>
    <x:t>[9사(일사)05-02]우리의 일상을 규율하는 다양한 법을 탐색하고,국내외 사례를 통해 사회법이 필요한이유에 대해 토의한다.</x:t>
  </x:si>
  <x:si>
    <x:t>[9사(일사)06-03]근로자에게 보장되는 권리를 조사하고,이러한 권리의 침해에 대처하는 국가와시민의 노력에 대해 토의한다.</x:t>
  </x:si>
  <x:si>
    <x:t>[9역09-01]삼국 통일의 과정을 동아시아 국제 정세의 맥락에서 이해하고,통일신라와 발해 성립의 역사적 의의를 추론한다.</x:t>
  </x:si>
  <x:si>
    <x:t>[9기가02-10]의식주 생활자원의 생산과 폐기과정을 탐색하고,일상생활에서 의식주 생활자원을선택한 과정과 그 결과를 성찰한다.</x:t>
  </x:si>
  <x:si>
    <x:t>[9기가04-11]생명기술을 이해하며,이와 관련된 문제의 해결 방안을 탐색,실현,평가하고,생명 존중 및 윤리적 태도를 갖는다.</x:t>
  </x:si>
  <x:si>
    <x:t>[9기가04-07]기계의 구성 요소 및 동력 전달 장치의 종류와 특징을 이해하고,작동 원리에 맞는기계요소를 선택하여 평가한다.</x:t>
  </x:si>
  <x:si>
    <x:t>[9보02-05]삶과 죽음,상실의 의미에 대한 성찰을 바탕으로,삶의 소중함을 깨닫고 죽음⋅상실에 건강하게 대처하는 자세를 지지한다.</x:t>
  </x:si>
  <x:si>
    <x:t>[9사(일사)12-01]오늘날 우리 사회가 겪는 사회 변동에 대해 조사하고,이러한 사회 변동이 우리 생활에 미치는 영향을 분석한다.</x:t>
  </x:si>
  <x:si>
    <x:t>[9보04-02]급⋅만성 질병의 위험요인과 건강에 미치는 영향을 탐색하여,질병과 함께 건강하게 살아가기 위한 방안을 세우고 실천한다.</x:t>
  </x:si>
  <x:si>
    <x:t>[9사(지리)04-02]아프리카의 지리적 특성에 기반한 다양한 문화와 지역 잠재력을 탐구하고,아프리카에 대한 자신의 인식을 성찰한다.</x:t>
  </x:si>
  <x:si>
    <x:t>[9역03-03]크리스트교 세계의 정치와 종교의 상관성을 이해하고,이슬람 세계와 크리스트교 세계의 충돌 및 교류의 결과를 탐구한다.</x:t>
  </x:si>
  <x:si>
    <x:t>[9사(지리)10-03]제주도의 지역 변화와 이를 둘러싼 다양한 가치를 살펴보고 이에 대한 자신과 상대방의 의견을 비판적으로 검토한다.</x:t>
  </x:si>
  <x:si>
    <x:t>[9사(지리)05-02]다양한 민족(인종)으로 구성된 아메리카의 인구 특징을 살펴보고,사례를 들어 아메리카의 문화 혼종성을 설명한다.</x:t>
  </x:si>
  <x:si>
    <x:t>[9환04-03]온실가스의 종류와 특성을 알아보고,온실가스 배출원과 배출량을 비교하여 인간 활동이기후변화에 끼친 영향을 파악한다.</x:t>
  </x:si>
  <x:si>
    <x:t>[9보03-01]성의 개념과 성역할 및 영향요인에 대해 성인지적 관점에서 탐색하여 안전하고 행복한 성문화와 성의식의 필요성을 이해한다.</x:t>
  </x:si>
  <x:si>
    <x:t>[9사(지리)03-03]지역 간 역학관계에 따른 유럽의 통합과 분리의 움직임이 유럽연합의 변화와 주민 생활에 미치는 영향을 탐색한다.</x:t>
  </x:si>
  <x:si>
    <x:t>[9정05-03]사례를 중심으로 디지털 공간에서 함께 살아가기 위해 개인 정보 및 권리와 저작권을 보호하는 실천 방법을 탐구한다.</x:t>
  </x:si>
  <x:si>
    <x:t>[9사(지리)08-02]우리나라의 계절별,지역별 기후 특성 및 변화 양상을 파악하고,기후변화에 대한 지역별 대응 노력을 조사한다.</x:t>
  </x:si>
  <x:si>
    <x:t>[9사(지리)02-03]아시아의 인구 특징을 파악하고 지역별 인구 구조 변화를 비교하여 지역 발전의 가능성및 변화 모습을 추론한다.</x:t>
  </x:si>
  <x:si>
    <x:t>[9사(일사)02-02]우리 주변에서 활용되는 미디어들을 탐색하고,미디어를 통해 경험하는 다양한 문화와 정보들을 비판적으로 검토한다.</x:t>
  </x:si>
  <x:si>
    <x:t>[9사(지리)09-04]수도권과 비수도권 간의 지역 불균형 실태를 지도로 표현하고,지역 불균형을 완화하기 위한 방안들을 제안한다.</x:t>
  </x:si>
  <x:si>
    <x:t>[9역02-03]중국과 인도의 정치적 변화와 종교⋅사상 성립의 관계를 이해하고,유라시아의 상호 교류를 탐색한다.</x:t>
  </x:si>
  <x:si>
    <x:t>[9정04-04]인공지능 시스템으로 해결 가능한 문제를 발견하고,문제 해결에 적합한 인공지능 시스템을 적용한다.</x:t>
  </x:si>
  <x:si>
    <x:t>[9체02-27]스포츠 환경에 대한 친화적 태도와 지속가능한 스포츠 환경을 만들기 위한 공동체 의식을발휘한다.</x:t>
  </x:si>
  <x:si>
    <x:t>[9정04-05]인공지능 학습에 필요한 데이터의 수집과 활용에서 발생하는 윤리적인 문제의 해결 방안을구상한다.</x:t>
  </x:si>
  <x:si>
    <x:t>[9환04-01]지구 역사와 함께 기후가 어떻게 변화해 왔고 전망되는지 이해하고 현재의 기후위기 상황을 인식한다.</x:t>
  </x:si>
  <x:si>
    <x:t>[9진로03-03]진로 목표 성취를 위해 학습의 필요성을 이해하고,학습 계획을 자기 주도적으로 수립하여실천한다.</x:t>
  </x:si>
  <x:si>
    <x:t>[9영02-05]친숙한 주제에 관해 일이나 사건의 논리적 관계를 설명한다.</x:t>
  </x:si>
  <x:si>
    <x:t>[9체01-04]자신의 체력을 진단하고 적합한 체력 관리 방법을 실천한다.</x:t>
  </x:si>
  <x:si>
    <x:t>[9체03-08]현대 표현의 원리를 적용하여 동작을 심미적으로 표현한다.</x:t>
  </x:si>
  <x:si>
    <x:t>[9체03-02]스포츠 표현의 원리를 적용하여 동작을 심미적으로 표현한다.</x:t>
  </x:si>
  <x:si>
    <x:t>[9영02-10]적절한 전략을 활용하여 상황이나 목적에 맞게 말하거나 쓴다.</x:t>
  </x:si>
  <x:si>
    <x:t>[9정03-08]실생활의 문제를 탐색하여 발견하고,프로그래밍을 통해 해결한다.</x:t>
  </x:si>
  <x:si>
    <x:t>[9한01-05]단어와 성어를 맥락에 맞게 활용하여 소통하는 태도를 기른다.</x:t>
  </x:si>
  <x:si>
    <x:t>[9영02-01]연음이나 축약된 소리를 활용하여 단어,어구,문장을 말한다.</x:t>
  </x:si>
  <x:si>
    <x:t>[9음03-03]음악의 요소와 특징을 활용하여 간단한 형식의 음악을 만든다.</x:t>
  </x:si>
  <x:si>
    <x:t>[9체03-05]전통 표현의 원리를 적용하여 동작을 심미적으로 표현한다.</x:t>
  </x:si>
  <x:si>
    <x:t>[9역12-03]조선 후기 사회적 모순에 대한 여러 세력의 대응을 탐구한다.</x:t>
  </x:si>
  <x:si>
    <x:t>[9영02-09]적절한 매체를 활용하여 정보 윤리를 준수하며 말하거나 쓴다.</x:t>
  </x:si>
  <x:si>
    <x:t>[9영01-01]단어,어구,문장을 듣고 연음이나 축약된 소리를 식별한다.</x:t>
  </x:si>
  <x:si>
    <x:t>[9정04-03]다양한 데이터를 활용하여 인공지능 시스템을 구성하고 적용한다.</x:t>
  </x:si>
  <x:si>
    <x:t>[9영01-02]친숙한 주제에 관한 담화나 글에서 세부 정보를 파악한다.</x:t>
  </x:si>
  <x:si>
    <x:t>[9정02-03]실생활의 데이터를 표,다이어그램 등 다양한 형태로 구조화한다.</x:t>
  </x:si>
  <x:si>
    <x:t>[9음01-03]소리의 상호작용을 인식하고 매체를 활용하여 함께 표현한다.</x:t>
  </x:si>
  <x:si>
    <x:t>[9역11-03]왜란과 호란의 성격을 동아시아 국제 정세 속에서 분석한다.</x:t>
  </x:si>
  <x:si>
    <x:t>[9진로02-06]창업의 특성과 창업가 정신을 이해하고 그 중요성을 인식한다.</x:t>
  </x:si>
  <x:si>
    <x:t>[9음01-04]생활 속 다양한 형태의 연주에 참여하고 전통과 현대의 연주 문화 다양성을 인식한다.</x:t>
  </x:si>
  <x:si>
    <x:t>[9역06-01] 20세기 전반 세계 질서의 변화를 두 차례의 세계 대전을 중심으로 파악한다.</x:t>
  </x:si>
  <x:si>
    <x:t>[9정03-05]데이터를 순차적으로 저장할 수 있는 구조를 활용하여 문제 해결 프로그램을 작성한다.</x:t>
  </x:si>
  <x:si>
    <x:t>[9정01-01]컴퓨팅 시스템의 구성요소와 동작 원리를 이해하고,운영 체제의 기능을 분석한다.</x:t>
  </x:si>
  <x:si>
    <x:t>[9정02-04]사례를 중심으로 데이터 간의 관계를 파악하고,데이터에 기반하여 의미를 해석한다.</x:t>
  </x:si>
  <x:si>
    <x:t>[9진로01-01]진로와 직업의 의미를 이해하고 다양한 직업인의 진로 특성과 삶의 모습을 탐색한다.</x:t>
  </x:si>
  <x:si>
    <x:t>[9정03-03]알고리즘의 중요성을 이해하고,문제를 해결하는 다양한 알고리즘을 비교⋅분석한다.</x:t>
  </x:si>
  <x:si>
    <x:t>[9체01-11]사회적 건강의 의미를 이해하고 사회적 건강을 위한 활동의 종류와 특성을 분석한다.</x:t>
  </x:si>
  <x:si>
    <x:t>[9진로03-02]관심 진로 분야의 다양한 진로 경로를 탐색하고 자신의 진로 경로를 설정한다.</x:t>
  </x:si>
  <x:si>
    <x:t>[9체02-12]영역형 스포츠의 경기 방법을 이해하고 경기 전략을 활용하며 안전하게 경기한다.</x:t>
  </x:si>
  <x:si>
    <x:t>[9체02-15]필드형 스포츠의 경기 방법을 이해하고 경기 전략을 활용하며 안전하게 경기한다.</x:t>
  </x:si>
  <x:si>
    <x:t>[9진로01-03]함께 일하고 싶은 직업인의 특성을 알아보고 바람직한 직업인의 자세를 갖는다.</x:t>
  </x:si>
  <x:si>
    <x:t>[9체01-06]자신의 신체 조건이나 체력에 맞게 운동 처방 계획을 수립하고 안전하게 실천한다.</x:t>
  </x:si>
  <x:si>
    <x:t>[9체01-13]체력 운동을 하며 실천 의지와 인내심을 보이고 자기 주도적으로 문제를 해결한다.</x:t>
  </x:si>
  <x:si>
    <x:t>[9음03-01]음악적 의도나 아이디어를 여러 매체나 방법에 적용하여 자기 주도적으로 창작한다.</x:t>
  </x:si>
  <x:si>
    <x:t>[9사(일사)10-02]물가 변동과 실업의 사례를 탐색하고 물가 변동과 실업이 우리 생활에 미치는 영향을제시한다.</x:t>
  </x:si>
  <x:si>
    <x:t>[9사(지리)01-03]세계의 변화가 지역에 영향을 미치고 지역의 변화가 세계에 영향을 미치는 사례를조사한다.</x:t>
  </x:si>
  <x:si>
    <x:t>[9수02-01]다양한 상황을 문자를 사용한 식으로 나타내어 그 유용성을 인식하고,식의 값을 구할 수 있다.</x:t>
  </x:si>
  <x:si>
    <x:t>[9사(지리)06-02]태평양 지역이 겪고 있는 환경 문제를 조사하고 그 해결에 참여할 수 있는 방안을 제안한다.</x:t>
  </x:si>
  <x:si>
    <x:t>[9수01-03]다양한 상황을 이용하여 음수의 필요성을 인식하고,양수와 음수,정수와 유리수의개념을 이해한다.</x:t>
  </x:si>
  <x:si>
    <x:t>[9사(일사)06-01]일상생활에서 인권이 침해되는 사례를 조사하고,우리 헌법에 보장된 기본권의종류를 탐색한다.</x:t>
  </x:si>
  <x:si>
    <x:t>[9사(지리)01-02]다양한 스케일에서 지역이 서로 연계되어 있음을 공간적 상호 작용의 사례를 통해파악한다.</x:t>
  </x:si>
  <x:si>
    <x:t>[9사(지리)07-03]다양한 지리 정보와 매체를 활용하여 우리 지역의 문제를 선정하고 지리적으로 시각화한다.</x:t>
  </x:si>
  <x:si>
    <x:t>[9수03-06]부채꼴의 중심각과 호의 관계를 이해하고,이를 이용하여 부채꼴의 호의 길이와 넓이를 구할 수 있다.</x:t>
  </x:si>
  <x:si>
    <x:t>[9사(일사)05-01]법의 의미와 특징을 설명하고,일상생활에서 접하는 법의 사례를 통해 법의 목적을 도출한다.</x:t>
  </x:si>
  <x:si>
    <x:t>[9수03-07]구체적인 모형이나 공학 도구를 이용하여 다면체와 회전체의 성질을 탐구하고,이를 설명할 수 있다.</x:t>
  </x:si>
  <x:si>
    <x:t>[9사(일사)03-02]민주주의의 발전 과정을 검토하고,이를 토대로 민주주의의 이념과 기본 원리를 도출한다.</x:t>
  </x:si>
  <x:si>
    <x:t>[9수03-01]점,선,면,각을 이해하고,실생활 상황과 연결하여 점,직선,평면의 위치 관계를 설명할 수 있다.</x:t>
  </x:si>
  <x:si>
    <x:t>[9수04-07]분산과 표준편차를 구하고 자료의 분포를 설명할 수 있다.</x:t>
  </x:si>
  <x:si>
    <x:t>[9생아01-02]낱말,간단하고 쉬운 구,문장,대화를 듣고 의미를 이해한다.</x:t>
  </x:si>
  <x:si>
    <x:t>[9수04-06]확률의 개념과 그 기본 성질을 이해하고,확률을 구할 수 있다.</x:t>
  </x:si>
  <x:si>
    <x:t>[9생스03-02]낱말이나 간단하고 쉬운 구,문장을 읽고 의미를 이해한다.</x:t>
  </x:si>
  <x:si>
    <x:t>[9생베04-03]글쓰기에 흥미를 갖고 쓰기 활동에 적극적으로 참여한다.</x:t>
  </x:si>
  <x:si>
    <x:t>[9생아02-02]간단하고 쉬운 의사소통 표현을 사용하여 상황에 맞게 말한다.</x:t>
  </x:si>
  <x:si>
    <x:t>[9역04-02]명⋅청,에도 막부,무굴 제국의 정치⋅사회 변화를 비교한다.</x:t>
  </x:si>
  <x:si>
    <x:t>[9생일02-02]간단하고 쉬운 구나 문장으로 상황을 묘사하거나 설명한다.</x:t>
  </x:si>
  <x:si>
    <x:t>[9생스01-03]간단하고 쉬운 의사소통 표현을 듣고 상황에 맞게 반응한다.</x:t>
  </x:si>
  <x:si>
    <x:t>[9생스01-02]낱말이나 간단하고 쉬운 구⋅문장을 듣고 의미를 이해한다.</x:t>
  </x:si>
  <x:si>
    <x:t>[9역04-03]오스만 제국의 성장과 유럽 사회의 근대적 변화를 조사한다.</x:t>
  </x:si>
  <x:si>
    <x:t>[9역07-03]오늘날 세계화의 양상을 조사하고,성과와 과제를 탐구한다.</x:t>
  </x:si>
  <x:si>
    <x:t>[9역08-01]고조선과 여러 나라의 형성 과정 및 사회 모습을 탐구한다.</x:t>
  </x:si>
  <x:si>
    <x:t>[9생일01-02]낱말,간단하고 쉬운 구와 문장을 듣고 의미를 이해한다.</x:t>
  </x:si>
  <x:si>
    <x:t>[9생일03-02]낱말,간단하고 쉬운 구나 문장을 읽고 의미를 이해한다.</x:t>
  </x:si>
  <x:si>
    <x:t>[9생일04-03]간단하고 쉬운 대화문이나 글을 상황과 목적에 맞게 작성한다.</x:t>
  </x:si>
  <x:si>
    <x:t>[9수03-16]삼각비의 뜻을 알고,간단한 삼각비의 값을 구할 수 있다.</x:t>
  </x:si>
  <x:si>
    <x:t>[9수01-01]소인수분해의 뜻을 알고,자연수를 소인수분해 할 수 있다.</x:t>
  </x:si>
  <x:si>
    <x:t>[9생스05-04]매체를 활용하여 스페인어권의 주요 문화 내용을 설명한다.</x:t>
  </x:si>
  <x:si>
    <x:t>[9생베05-02]베트남 문화 내용을 베트남어 의사소통 상황에 활용한다.</x:t>
  </x:si>
  <x:si>
    <x:t>[9생스03-03]간단하고 쉬운 글이나 자료,대화문을 읽고 내용을 이해한다.</x:t>
  </x:si>
  <x:si>
    <x:t>[9생일04-02]간단하고 쉬운 구나 문장을 표기법과 어법에 맞게 쓴다.</x:t>
  </x:si>
  <x:si>
    <x:t>[9수01-02]소인수분해를 이용하여 최대공약수와 최소공배수를 구할 수 있다.</x:t>
  </x:si>
  <x:si>
    <x:t>[9수01-08]무리수의 개념을 이해하고,무리수의 유용성을 인식할 수 있다.</x:t>
  </x:si>
  <x:si>
    <x:t>[9수02-03]방정식과 그 해의 뜻을 알고,등식의 성질을 설명할 수 있다.</x:t>
  </x:si>
  <x:si>
    <x:t>[9수02-08]지수법칙을 이해하고,이를 이용하여 식을 간단히 할 수 있다.</x:t>
  </x:si>
  <x:si>
    <x:t>[9수03-02]평행선에서 동위각과 엇각의 성질을 이해하고 설명할 수 있다.</x:t>
  </x:si>
  <x:si>
    <x:t>[9생아03-02]낱말,간단하고 쉬운 구나 문장을 읽고 의미를 이해한다.</x:t>
  </x:si>
  <x:si>
    <x:t>[9생중03-01]한어병음이나 기초적인 한자를 식별하고 소리 내어 읽는다.</x:t>
  </x:si>
  <x:si>
    <x:t>[9수03-10]삼각형의 외심과 내심의 성질을 이해하고 정당화할 수 있다.</x:t>
  </x:si>
  <x:si>
    <x:t>[9생스04-03]간단하고 쉬운 글이나 대화문을 상황과 목적에 맞게 작성한다.</x:t>
  </x:si>
  <x:si>
    <x:t>[9생베04-02]간단하고 쉬운 글이나 대화문을 상황과 어법에 맞게 쓴다.</x:t>
  </x:si>
  <x:si>
    <x:t>[9생독03-03]간단하고 쉬운 대화문이나 텍스트를 읽고 정보를 파악한다.</x:t>
  </x:si>
  <x:si>
    <x:t>[9생독04-03]글쓰기에 흥미를 갖고 쓰기 활동에 적극적으로 참여한다.</x:t>
  </x:si>
  <x:si>
    <x:t>[9생베02-02]낱말이나 간단하고 쉬운 의사소통 표현을 상황에 맞게 말한다.</x:t>
  </x:si>
  <x:si>
    <x:t>[9생러04-01]낱말,간단하고 쉬운 구,문장을 정서법과 어법에 맞게 쓴다.</x:t>
  </x:si>
  <x:si>
    <x:t>[9생베03-02]낱말이나 간단하고 쉬운 구,문장을 읽고 의미를 파악한다.</x:t>
  </x:si>
  <x:si>
    <x:t>[9생베02-03]상대방을 존중하는 태도로 말하기 활동에 적극적으로 참여한다.</x:t>
  </x:si>
  <x:si>
    <x:t>[9생러04-03]글쓰기에 흥미를 갖고 쓰기 활동에 자기주도적으로 참여한다.</x:t>
  </x:si>
  <x:si>
    <x:t>[9생베01-02]낱말이나 간단하고 쉬운 구,문장을 듣고 의미를 파악한다.</x:t>
  </x:si>
  <x:si>
    <x:t>[9생독04-01]낱말이나 간단한 구,간단하고 쉬운 문장을 어법에 맞게 쓴다.</x:t>
  </x:si>
  <x:si>
    <x:t>[9수03-04]삼각형의 합동 조건을 이해하고,이를 이용하여 두 삼각형이 합동인지 판별할 수 있다.</x:t>
  </x:si>
  <x:si>
    <x:t>[9역02-02]서아시아⋅지중해 세계에서 등장한 여러 정치체를 비교하고 종교 및 문화를 탐구한다.</x:t>
  </x:si>
  <x:si>
    <x:t>[9생독03-01]말이나 간단한 구,간단하고 쉬운 문장을 발음 규칙에 유의하여 소리 내어 읽는다.</x:t>
  </x:si>
  <x:si>
    <x:t>[9역05-01]시민 혁명을 국민 국가 형성과 연결하여 파악하고,역사적 의의와 한계를 탐구한다.</x:t>
  </x:si>
  <x:si>
    <x:t>[9생베03-01]낱말이나 간단하고 쉬운 구,문장을 발음과 성조에 유의하여 소리 내어 읽는다.</x:t>
  </x:si>
  <x:si>
    <x:t>[9사(일사)07-03]사법기관으로서 법원의 역할을 검토하고,헌법재판소의 성격에 대해 토의한다.</x:t>
  </x:si>
  <x:si>
    <x:t>[9생러03-01]낱말이나 간단하고 쉬운 구,문장을 강세와 억양에 유의하여 소리 내어 읽는다.</x:t>
  </x:si>
  <x:si>
    <x:t>[9생스02-03]일상생활에서 접하는 친숙한 대상이나 상황에 대해 간단히 묘사하거나 설명한다.</x:t>
  </x:si>
  <x:si>
    <x:t>[9생일05-05]일본 문화에 대해 호기심을 가지고 수업이나 과제 활동에 적극적으로 참여한다.</x:t>
  </x:si>
  <x:si>
    <x:t>[9생중03-02]기초적인 낱말,구,간단하고 쉬운 문장을 발음에 유의하여 읽고 의미를 파악한다.</x:t>
  </x:si>
  <x:si>
    <x:t>[9수03-13]삼각형의 닮음 조건을 이해하고,이를 이용하여 두 삼각형이 닮음인지 판별할 수 있다.</x:t>
  </x:si>
  <x:si>
    <x:t>[9생스03-01]낱말이나 간단하고 쉬운 구,문장을 발음⋅강세⋅억양에 유의하여 소리 내어 읽는다.</x:t>
  </x:si>
  <x:si>
    <x:t>[9생아05-04]상호문화적 관점에서 한국 문화와 아랍 문화의 공통점과 차이점을 이해하고 표현한다.</x:t>
  </x:si>
  <x:si>
    <x:t>[9생베05-01]베트남의 개관 및 생활 문화,언어문화,전통문화,예술 문화 등에 대해 이해한다.</x:t>
  </x:si>
  <x:si>
    <x:t>[9생중02-01]발음을 듣고 따라 말하거나 기초적인 의사소통 표현을 발음에 유의하여 말한다.</x:t>
  </x:si>
  <x:si>
    <x:t>[9체02-18]네트형 스포츠의 경기 방법을 이해하고 경기 전략을 활용하며 안전하게 경기한다.</x:t>
  </x:si>
  <x:si>
    <x:t xml:space="preserve"> 다항식의 곱셈과 인수분해를 할 수 있다.</x:t>
  </x:si>
  <x:si>
    <x:t>[9체02-04]기록형 스포츠의 역사와 특성을 탐색하고 비교한다.</x:t>
  </x:si>
  <x:si>
    <x:t>[9진로02-01]사회 변화에 따른 직업 세계의 변화를 이해한다.</x:t>
  </x:si>
  <x:si>
    <x:t>[9체02-13]필드형 스포츠의 역사와 특성을 탐색하고 비교한다.</x:t>
  </x:si>
  <x:si>
    <x:t>[9체01-10]자신에게 적합한 정신 건강 활동 방법을 실천한다.</x:t>
  </x:si>
  <x:si>
    <x:t>[9체02-19]생활환경형 스포츠의 역사와 특성을 탐색하고 비교한다.</x:t>
  </x:si>
  <x:si>
    <x:t>[9체02-22]자연환경형 스포츠의 역사와 특성을 탐색하고 비교한다.</x:t>
  </x:si>
  <x:si>
    <x:t>[9체02-10]영역형 스포츠의 역사와 특성을 탐색하고 비교한다.</x:t>
  </x:si>
  <x:si>
    <x:t>[9체02-16]네트형 스포츠의 역사와 특성을 탐색하고 비교한다.</x:t>
  </x:si>
  <x:si>
    <x:t>[9체02-01]동작형 스포츠의 역사와 특성을 탐색하고 비교한다.</x:t>
  </x:si>
  <x:si>
    <x:t>[9체02-07]투기형 스포츠의 역사와 특성을 탐색하고 비교한다.</x:t>
  </x:si>
  <x:si>
    <x:t>[9정03-01]문제의 상태를 정의하고 수행 가능한 형태로 구조화한다.</x:t>
  </x:si>
  <x:si>
    <x:t>[9체01-02]자신의 체력 수준에 맞는 체력 증진 운동을 실천한다.</x:t>
  </x:si>
  <x:si>
    <x:t>[9체01-08]자신에게 적합한 신체 건강 활동 방법을 실천한다.</x:t>
  </x:si>
  <x:si>
    <x:t>[9음02-01]음악을 듣고 다양한 음악 요소에 집중하여 분석한다.</x:t>
  </x:si>
  <x:si>
    <x:t>[9한01-03]단어의 짜임을 구별한다.</x:t>
  </x:si>
  <x:si>
    <x:t>[9한02-03]글을 바르게 풀이한다.</x:t>
  </x:si>
  <x:si>
    <x:t>[9한02-02]글을 의미에 맞게 읽는다.</x:t>
  </x:si>
  <x:si>
    <x:t>[9한02-01]문장의 구조를 구별한다.</x:t>
  </x:si>
  <x:si>
    <x:t>[9체03-09]현대 표현의 특성과 원리를 반영한 작품을 창작하고 표현 요소를 고려하여 감상한다.</x:t>
  </x:si>
  <x:si>
    <x:t>[9체02-24]자연환경형 스포츠의 활동 방법을 이해하고 활동 전략을 활용하며 안전하게 경기한다.</x:t>
  </x:si>
  <x:si>
    <x:t>[9체03-06]전통 표현의 특성과 원리를 반영한 작품을 창작하고 표현 요소를 고려하여 감상한다.</x:t>
  </x:si>
  <x:si>
    <x:t>[9체02-21]생활환경형 스포츠의 활동 방법을 이해하고 활동 전략을 활용하며 안전하게 경기한다.</x:t>
  </x:si>
  <x:si>
    <x:t>[9환04-05]학교와 지역에서 실천할 수 있는 기후행동을 계획하고 참여하며 그 결과를 성찰한다.</x:t>
  </x:si>
  <x:si>
    <x:t>[9체03-03]스포츠 표현의 특성과 원리를 반영한 작품을 창작하고 표현 요소를 고려하여 감상한다.</x:t>
  </x:si>
  <x:si>
    <x:t xml:space="preserve"> 지수법칙을 이해하고, 이를 이용하여 식을 간단히 할 수 있다.</x:t>
  </x:si>
  <x:si>
    <x:t xml:space="preserve"> 일차함수의 개념을 이해하고, 그 그래프를 그릴 수 있다.</x:t>
  </x:si>
  <x:si>
    <x:t xml:space="preserve"> 함수의 개념을 이해하고, 함숫값을 구할 수 있다.</x:t>
  </x:si>
  <x:si>
    <x:t xml:space="preserve"> 미지수가 2개인 연립일차방정식을 풀 수 있고, 이를 활용하여 문제를 해결할 수 있다.</x:t>
  </x:si>
  <x:si>
    <x:t>[9수02-14]</x:t>
  </x:si>
  <x:si>
    <x:t>[9수02-10]</x:t>
  </x:si>
  <x:si>
    <x:t>[9수02-11]</x:t>
  </x:si>
  <x:si>
    <x:t>[9수02-12]</x:t>
  </x:si>
  <x:si>
    <x:t>[9수02-13]</x:t>
  </x:si>
  <x:si>
    <x:t>[9수02-18]</x:t>
  </x:si>
  <x:si>
    <x:t>[9수02-15]</x:t>
  </x:si>
  <x:si>
    <x:t>[9수02-19]</x:t>
  </x:si>
  <x:si>
    <x:t>[9수02-16]</x:t>
  </x:si>
  <x:si>
    <x:t>[9수02-20]</x:t>
  </x:si>
  <x:si>
    <x:t>[9수02-21]</x:t>
  </x:si>
  <x:si>
    <x:t>[9수02-17]</x:t>
  </x:si>
  <x:si>
    <x:t>[9수02-22]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</x:si>
</x:sst>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6" fillId="0" borderId="0" xfId="0" applyNumberFormat="1" applyFont="1" applyFill="1" applyBorder="1" applyAlignment="1" applyProtection="1">
      <x:alignment horizontal="left" vertical="center"/>
    </x:xf>
    <x:xf numFmtId="0" fontId="0" fillId="0" borderId="0" xfId="0" applyNumberFormat="1" applyFont="1" applyFill="1" applyAlignment="1" applyProtection="1">
      <x:alignment horizontal="general" vertical="center"/>
    </x:xf>
    <x:xf numFmtId="0" fontId="0" fillId="0" borderId="0" xfId="0" applyNumberFormat="1" applyFont="1" applyFill="1" applyAlignment="1" applyProtection="1">
      <x:alignment horizontal="left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left" vertical="center" wrapText="1"/>
    </x:xf>
    <x:xf numFmtId="0" fontId="6" fillId="0" borderId="0" xfId="0" applyNumberFormat="1" applyFont="1" applyFill="1" applyBorder="1" applyAlignment="1" applyProtection="1">
      <x:alignment horizontal="left" vertical="center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gif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449580</xdr:colOff>
      <xdr:row>244</xdr:row>
      <xdr:rowOff>381000</xdr:rowOff>
    </xdr:from>
    <xdr:to>
      <xdr:col>4</xdr:col>
      <xdr:colOff>510540</xdr:colOff>
      <xdr:row>245</xdr:row>
      <xdr:rowOff>30480</xdr:rowOff>
    </xdr:to>
    <xdr:pic macro="" fPublished="0">
      <xdr:nvPicPr>
        <xdr:cNvPr id="17" name="그림 16"/>
        <xdr:cNvPicPr/>
      </xdr:nvPicPr>
      <xdr:blipFill rotWithShape="1">
        <a:blip r:embed="rId1"/>
        <a:stretch>
          <a:fillRect/>
        </a:stretch>
      </xdr:blipFill>
      <xdr:spPr>
        <a:xfrm>
          <a:off x="8747760" y="77678280"/>
          <a:ext cx="60960" cy="6858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W702"/>
  <x:sheetViews>
    <x:sheetView tabSelected="1" topLeftCell="A1" zoomScaleNormal="100" zoomScaleSheetLayoutView="100" workbookViewId="0">
      <x:selection activeCell="D5" activeCellId="0" sqref="D5:D5"/>
    </x:sheetView>
  </x:sheetViews>
  <x:sheetFormatPr defaultColWidth="8.796875" defaultRowHeight="16.39999999999999857891"/>
  <x:cols>
    <x:col min="2" max="2" width="14.59375" style="4" customWidth="1"/>
    <x:col min="3" max="3" width="76.6953125" style="4" customWidth="1"/>
    <x:col min="4" max="10" width="8.796875" style="2"/>
    <x:col min="11" max="11" width="8.796875" style="2" bestFit="1" customWidth="1"/>
    <x:col min="12" max="23" width="8.796875" style="2"/>
  </x:cols>
  <x:sheetData>
    <x:row r="1" spans="1:23">
      <x:c r="A1" t="s">
        <x:v>35</x:v>
      </x:c>
      <x:c r="B1" s="5" t="s">
        <x:v>720</x:v>
      </x:c>
      <x:c r="C1" s="5" t="s">
        <x:v>472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spans="1:23">
      <x:c r="A2" t="s">
        <x:v>41</x:v>
      </x:c>
      <x:c r="B2" s="6" t="str">
        <x:f>LEFT(G2,SEARCH("]",G2))</x:f>
        <x:v>[9과01-01]</x:v>
      </x:c>
      <x:c r="C2" s="5" t="str">
        <x:f>MID(G2,SEARCH("]",G2)+1,200)</x:f>
        <x:v>과학적 탐구 방법을 이해하고,일상생활의 문제에 대한 과학적 해결 방안을 제안할 수있다.</x:v>
      </x:c>
      <x:c r="D2" s="3"/>
      <x:c r="E2" s="3"/>
      <x:c r="F2" s="3"/>
      <x:c r="G2" s="3" t="s">
        <x:v>191</x:v>
      </x:c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 spans="1:23" ht="32.75">
      <x:c r="A3" t="s">
        <x:v>41</x:v>
      </x:c>
      <x:c r="B3" s="6" t="str">
        <x:f>LEFT(G3,SEARCH("]",G3))</x:f>
        <x:v>[9과01-02]</x:v>
      </x:c>
      <x:c r="C3" s="5" t="str">
        <x:f>MID(G3,SEARCH("]",G3)+1,200)</x:f>
        <x:v>과학의 발전이 인류 문명에 미친 영향을 이해하고,인공지능 등 첨단 과학기술이 가져올 미래 사회의 변화를 조사하여 발표할 수 있다.</x:v>
      </x:c>
      <x:c r="D3" s="3"/>
      <x:c r="E3" s="3"/>
      <x:c r="F3" s="3"/>
      <x:c r="G3" s="3" t="s">
        <x:v>1624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 spans="1:23" ht="32.75">
      <x:c r="A4" t="s">
        <x:v>41</x:v>
      </x:c>
      <x:c r="B4" s="6" t="str">
        <x:f>LEFT(G4,SEARCH("]",G4))</x:f>
        <x:v>[9과01-03]</x:v>
      </x:c>
      <x:c r="C4" s="5" t="str">
        <x:f>MID(G4,SEARCH("]",G4)+1,200)</x:f>
        <x:v>인류의 지속가능한 삶을 위한 과학기술의 중요성과 역할에 대해 토의하고,개인과 사회 차원의 활동 방안을 찾아 실천할 수 있다.</x:v>
      </x:c>
      <x:c r="D4" s="3"/>
      <x:c r="E4" s="3"/>
      <x:c r="F4" s="3"/>
      <x:c r="G4" s="3" t="s">
        <x:v>1889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 spans="1:23" ht="32.75">
      <x:c r="A5" t="s">
        <x:v>41</x:v>
      </x:c>
      <x:c r="B5" s="6" t="str">
        <x:f>LEFT(G5,SEARCH("]",G5))</x:f>
        <x:v>[9과02-01]</x:v>
      </x:c>
      <x:c r="C5" s="5" t="str">
        <x:f>MID(G5,SEARCH("]",G5)+1,200)</x:f>
        <x:v>세포는 생명 활동이 일어나는 기본 단위임을 이해하고,세포의 구조와 기능의 관계를 추론할 수 있다.</x:v>
      </x:c>
      <x:c r="D5" s="3"/>
      <x:c r="E5" s="3"/>
      <x:c r="F5" s="3"/>
      <x:c r="G5" s="3" t="s">
        <x:v>1707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spans="1:23">
      <x:c r="A6" t="s">
        <x:v>41</x:v>
      </x:c>
      <x:c r="B6" s="6" t="str">
        <x:f>LEFT(G6,SEARCH("]",G6))</x:f>
        <x:v>[9과02-02]</x:v>
      </x:c>
      <x:c r="C6" s="5" t="str">
        <x:f>MID(G6,SEARCH("]",G6)+1,200)</x:f>
        <x:v>생물의 유기적 구성 단계를 이해하고,동물과 식물을 비교하여 분석할 수 있다.</x:v>
      </x:c>
      <x:c r="D6" s="3"/>
      <x:c r="E6" s="3"/>
      <x:c r="F6" s="3"/>
      <x:c r="G6" s="3" t="s">
        <x:v>1860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 spans="1:23">
      <x:c r="A7" t="s">
        <x:v>41</x:v>
      </x:c>
      <x:c r="B7" s="6" t="str">
        <x:f>LEFT(G7,SEARCH("]",G7))</x:f>
        <x:v>[9과02-03]</x:v>
      </x:c>
      <x:c r="C7" s="5" t="str">
        <x:f>MID(G7,SEARCH("]",G7)+1,200)</x:f>
        <x:v>생물다양성을 이해하고,변이와 생물다양성의 관계를 추론할 수 있다.</x:v>
      </x:c>
      <x:c r="D7" s="3"/>
      <x:c r="E7" s="3"/>
      <x:c r="F7" s="3"/>
      <x:c r="G7" s="3" t="s">
        <x:v>1671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 spans="1:23">
      <x:c r="A8" t="s">
        <x:v>41</x:v>
      </x:c>
      <x:c r="B8" s="6" t="str">
        <x:f>LEFT(G8,SEARCH("]",G8))</x:f>
        <x:v>[9과02-04]</x:v>
      </x:c>
      <x:c r="C8" s="5" t="str">
        <x:f>MID(G8,SEARCH("]",G8)+1,200)</x:f>
        <x:v>종의 개념과 분류 체계를 이해하고,생물을 계 수준에서 분류할 수 있다.</x:v>
      </x:c>
      <x:c r="D8" s="3"/>
      <x:c r="E8" s="3"/>
      <x:c r="F8" s="3"/>
      <x:c r="G8" s="3" t="s">
        <x:v>1864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 spans="1:23" ht="32.75">
      <x:c r="A9" t="s">
        <x:v>41</x:v>
      </x:c>
      <x:c r="B9" s="6" t="str">
        <x:f>LEFT(G9,SEARCH("]",G9))</x:f>
        <x:v>[9과02-05]</x:v>
      </x:c>
      <x:c r="C9" s="5" t="str">
        <x:f>MID(G9,SEARCH("]",G9)+1,200)</x:f>
        <x:v>생물다양성 보전의 필요성을 이해하고,생물다양성 유지를 위한 방안을 조사하고 실천할 수 있다.</x:v>
      </x:c>
      <x:c r="D9" s="3"/>
      <x:c r="E9" s="3"/>
      <x:c r="F9" s="3"/>
      <x:c r="G9" s="3" t="s">
        <x:v>1708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 spans="1:23">
      <x:c r="A10" t="s">
        <x:v>41</x:v>
      </x:c>
      <x:c r="B10" s="6" t="str">
        <x:f>LEFT(G10,SEARCH("]",G10))</x:f>
        <x:v>[9과03-01]</x:v>
      </x:c>
      <x:c r="C10" s="5" t="str">
        <x:f>MID(G10,SEARCH("]",G10)+1,200)</x:f>
        <x:v>온도와 열평형 과정을 물질을 구성하는 입자들의 배치나 움직임 등으로 설명할 수 있다.</x:v>
      </x:c>
      <x:c r="D10" s="3"/>
      <x:c r="E10" s="3"/>
      <x:c r="F10" s="3"/>
      <x:c r="G10" s="3" t="s">
        <x:v>127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 spans="1:23" ht="32.75">
      <x:c r="A11" t="s">
        <x:v>41</x:v>
      </x:c>
      <x:c r="B11" s="6" t="str">
        <x:f>LEFT(G11,SEARCH("]",G11))</x:f>
        <x:v>[9과03-02]</x:v>
      </x:c>
      <x:c r="C11" s="5" t="str">
        <x:f>MID(G11,SEARCH("]",G11)+1,200)</x:f>
        <x:v>열은 전도,대류,복사로 전달됨을 알고,열전달 과정을 모형 등을 사용하여 다양하게 표현할 수 있다.</x:v>
      </x:c>
      <x:c r="D11" s="3"/>
      <x:c r="E11" s="3"/>
      <x:c r="F11" s="3"/>
      <x:c r="G11" s="3" t="s">
        <x:v>1709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 spans="1:23" ht="32.75">
      <x:c r="A12" t="s">
        <x:v>41</x:v>
      </x:c>
      <x:c r="B12" s="6" t="str">
        <x:f>LEFT(G12,SEARCH("]",G12))</x:f>
        <x:v>[9과03-03]</x:v>
      </x:c>
      <x:c r="C12" s="5" t="str">
        <x:f>MID(G12,SEARCH("]",G12)+1,200)</x:f>
        <x:v>물질에 따라 비열과 열팽창 정도가 다름을 알고,이러한 성질이 일상생활에서 유용하게 활용됨을 인식할 수 있다.</x:v>
      </x:c>
      <x:c r="D12" s="3"/>
      <x:c r="E12" s="3"/>
      <x:c r="F12" s="3"/>
      <x:c r="G12" s="3" t="s">
        <x:v>64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 spans="1:23">
      <x:c r="A13" t="s">
        <x:v>41</x:v>
      </x:c>
      <x:c r="B13" s="6" t="str">
        <x:f>LEFT(G13,SEARCH("]",G13))</x:f>
        <x:v>[9과04-01]</x:v>
      </x:c>
      <x:c r="C13" s="5" t="str">
        <x:f>MID(G13,SEARCH("]",G13)+1,200)</x:f>
        <x:v>확산 및 증발 현상을 관찰하여 물질을 구성하는 입자가 운동하고 있음을 추론할 수 있다.</x:v>
      </x:c>
      <x:c r="D13" s="3"/>
      <x:c r="E13" s="3"/>
      <x:c r="F13" s="3"/>
      <x:c r="G13" s="3" t="s">
        <x:v>129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 spans="1:23">
      <x:c r="A14" t="s">
        <x:v>41</x:v>
      </x:c>
      <x:c r="B14" s="6" t="str">
        <x:f>LEFT(G14,SEARCH("]",G14))</x:f>
        <x:v>[9과04-02]</x:v>
      </x:c>
      <x:c r="C14" s="5" t="str">
        <x:f>MID(G14,SEARCH("]",G14)+1,200)</x:f>
        <x:v>물질의 세 가지 상태의 특징을 설명하고,이를 입자 모형으로 표현할 수 있다.</x:v>
      </x:c>
      <x:c r="D14" s="3"/>
      <x:c r="E14" s="3"/>
      <x:c r="F14" s="3"/>
      <x:c r="G14" s="3" t="s">
        <x:v>1866</x:v>
      </x:c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 spans="1:23">
      <x:c r="A15" t="s">
        <x:v>41</x:v>
      </x:c>
      <x:c r="B15" s="6" t="str">
        <x:f>LEFT(G15,SEARCH("]",G15))</x:f>
        <x:v>[9과04-03]</x:v>
      </x:c>
      <x:c r="C15" s="5" t="str">
        <x:f>MID(G15,SEARCH("]",G15)+1,200)</x:f>
        <x:v>여러 가지 물질의 상태 변화를 관찰하고,이를 입자 모형으로 설명할 수 있다.</x:v>
      </x:c>
      <x:c r="D15" s="3"/>
      <x:c r="E15" s="3"/>
      <x:c r="F15" s="3"/>
      <x:c r="G15" s="3" t="s">
        <x:v>1862</x:v>
      </x:c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 spans="1:23" ht="32.75">
      <x:c r="A16" t="s">
        <x:v>41</x:v>
      </x:c>
      <x:c r="B16" s="6" t="str">
        <x:f>LEFT(G16,SEARCH("]",G16))</x:f>
        <x:v>[9과04-04]</x:v>
      </x:c>
      <x:c r="C16" s="5" t="str">
        <x:f>MID(G16,SEARCH("]",G16)+1,200)</x:f>
        <x:v>물질의 상태 변화와 열에너지 출입 관계를 이해하고,이를 실생활에 적용하여 과학의 유용성을 인식할 수 있다.</x:v>
      </x:c>
      <x:c r="D16" s="3"/>
      <x:c r="E16" s="3"/>
      <x:c r="F16" s="3"/>
      <x:c r="G16" s="3" t="s">
        <x:v>62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 spans="1:23">
      <x:c r="A17" t="s">
        <x:v>41</x:v>
      </x:c>
      <x:c r="B17" s="6" t="str">
        <x:f>LEFT(G17,SEARCH("]",G17))</x:f>
        <x:v>[9과05-01]</x:v>
      </x:c>
      <x:c r="C17" s="5" t="str">
        <x:f>MID(G17,SEARCH("]",G17)+1,200)</x:f>
        <x:v>물체에 작용하는 힘을 화살표를 이용하여 나타내고,힘의 평형을 이루는 조건을 설명할 수 있다.</x:v>
      </x:c>
      <x:c r="D17" s="3"/>
      <x:c r="E17" s="3"/>
      <x:c r="F17" s="3"/>
      <x:c r="G17" s="3" t="s">
        <x:v>7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 spans="1:23">
      <x:c r="A18" t="s">
        <x:v>41</x:v>
      </x:c>
      <x:c r="B18" s="6" t="str">
        <x:f>LEFT(G18,SEARCH("]",G18))</x:f>
        <x:v>[9과05-02]</x:v>
      </x:c>
      <x:c r="C18" s="5" t="str">
        <x:f>MID(G18,SEARCH("]",G18)+1,200)</x:f>
        <x:v>중력,탄성력,마찰력,부력을 이해하고,각 힘의 특징을 크기와 방향으로 설명할 수 있다.</x:v>
      </x:c>
      <x:c r="D18" s="3"/>
      <x:c r="E18" s="3"/>
      <x:c r="F18" s="3"/>
      <x:c r="G18" s="3" t="s">
        <x:v>121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 spans="1:23">
      <x:c r="A19" t="s">
        <x:v>41</x:v>
      </x:c>
      <x:c r="B19" s="6" t="str">
        <x:f>LEFT(G19,SEARCH("]",G19))</x:f>
        <x:v>[9과05-03]</x:v>
      </x:c>
      <x:c r="C19" s="5" t="str">
        <x:f>MID(G19,SEARCH("]",G19)+1,200)</x:f>
        <x:v>알짜힘이0이 아닐 때 물체의 운동 상태가 변함을 알고,그 예를 조사하여 분류할 수 있다.</x:v>
      </x:c>
      <x:c r="D19" s="3"/>
      <x:c r="E19" s="3"/>
      <x:c r="F19" s="3"/>
      <x:c r="G19" s="3" t="s">
        <x:v>128</x:v>
      </x:c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 spans="1:23" ht="32.75">
      <x:c r="A20" t="s">
        <x:v>41</x:v>
      </x:c>
      <x:c r="B20" s="6" t="str">
        <x:f>LEFT(G20,SEARCH("]",G20))</x:f>
        <x:v>[9과05-04]</x:v>
      </x:c>
      <x:c r="C20" s="5" t="str">
        <x:f>MID(G20,SEARCH("]",G20)+1,200)</x:f>
        <x:v>다양한 사례에서 작용하는 힘과 힘의 평형 관계를 설명하고,일상생활에서 힘의 특징을 이용한 기구나 장치를 설계할 수 있다.</x:v>
      </x:c>
      <x:c r="D20" s="3"/>
      <x:c r="E20" s="3"/>
      <x:c r="F20" s="3"/>
      <x:c r="G20" s="3" t="s">
        <x:v>1892</x:v>
      </x:c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 spans="1:23">
      <x:c r="A21" t="s">
        <x:v>41</x:v>
      </x:c>
      <x:c r="B21" s="6" t="str">
        <x:f>LEFT(G21,SEARCH("]",G21))</x:f>
        <x:v>[9과06-01]</x:v>
      </x:c>
      <x:c r="C21" s="5" t="str">
        <x:f>MID(G21,SEARCH("]",G21)+1,200)</x:f>
        <x:v>압력의 의미를 알고,기체의 압력을 입자의 운동으로 설명할 수 있다.</x:v>
      </x:c>
      <x:c r="D21" s="3"/>
      <x:c r="E21" s="3"/>
      <x:c r="F21" s="3"/>
      <x:c r="G21" s="3" t="s">
        <x:v>1688</x:v>
      </x:c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 spans="1:23">
      <x:c r="A22" t="s">
        <x:v>41</x:v>
      </x:c>
      <x:c r="B22" s="6" t="str">
        <x:f>LEFT(G22,SEARCH("]",G22))</x:f>
        <x:v>[9과06-02]</x:v>
      </x:c>
      <x:c r="C22" s="5" t="str">
        <x:f>MID(G22,SEARCH("]",G22)+1,200)</x:f>
        <x:v>기체의 압력과 부피 관계를 실험 결과로부터 알아내고,이를 입자 모형으로 해석할 수있다.</x:v>
      </x:c>
      <x:c r="D22" s="3"/>
      <x:c r="E22" s="3"/>
      <x:c r="F22" s="3"/>
      <x:c r="G22" s="3" t="s">
        <x:v>113</x:v>
      </x:c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 spans="1:23">
      <x:c r="A23" t="s">
        <x:v>41</x:v>
      </x:c>
      <x:c r="B23" s="6" t="str">
        <x:f>LEFT(G23,SEARCH("]",G23))</x:f>
        <x:v>[9과06-03]</x:v>
      </x:c>
      <x:c r="C23" s="5" t="str">
        <x:f>MID(G23,SEARCH("]",G23)+1,200)</x:f>
        <x:v>기체의 온도와 부피 관계를 실험 결과로부터 알아내고,이를 입자 모형으로 해석할 수있다.</x:v>
      </x:c>
      <x:c r="D23" s="3"/>
      <x:c r="E23" s="3"/>
      <x:c r="F23" s="3"/>
      <x:c r="G23" s="3" t="s">
        <x:v>132</x:v>
      </x:c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 spans="1:23">
      <x:c r="A24" t="s">
        <x:v>41</x:v>
      </x:c>
      <x:c r="B24" s="6" t="str">
        <x:f>LEFT(G24,SEARCH("]",G24))</x:f>
        <x:v>[9과07-01]</x:v>
      </x:c>
      <x:c r="C24" s="5" t="str">
        <x:f>MID(G24,SEARCH("]",G24)+1,200)</x:f>
        <x:v>태양계를 구성하는 천체의 특징을 알고,행성을 목성형 행성과 지구형 행성으로 구분할 수 있다.</x:v>
      </x:c>
      <x:c r="D24" s="3"/>
      <x:c r="E24" s="3"/>
      <x:c r="F24" s="3"/>
      <x:c r="G24" s="3" t="s">
        <x:v>13</x:v>
      </x:c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 spans="1:23" ht="32.75">
      <x:c r="A25" t="s">
        <x:v>41</x:v>
      </x:c>
      <x:c r="B25" s="6" t="str">
        <x:f>LEFT(G25,SEARCH("]",G25))</x:f>
        <x:v>[9과07-02]</x:v>
      </x:c>
      <x:c r="C25" s="5" t="str">
        <x:f>MID(G25,SEARCH("]",G25)+1,200)</x:f>
        <x:v>태양의 표면과 대기에서 일어나는 현상을 알고,태양의 활동이 지구에 미치는 영향을 추론할 수 있다.</x:v>
      </x:c>
      <x:c r="D25" s="3"/>
      <x:c r="E25" s="3"/>
      <x:c r="F25" s="3"/>
      <x:c r="G25" s="3" t="s">
        <x:v>8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 spans="1:23" ht="32.75">
      <x:c r="A26" t="s">
        <x:v>41</x:v>
      </x:c>
      <x:c r="B26" s="6" t="str">
        <x:f>LEFT(G26,SEARCH("]",G26))</x:f>
        <x:v>[9과07-03]</x:v>
      </x:c>
      <x:c r="C26" s="5" t="str">
        <x:f>MID(G26,SEARCH("]",G26)+1,200)</x:f>
        <x:v>지구 자전에 의한 천체의 겉보기 운동과 지구 공전에 의한 별자리 변화를 이해하고,밤하늘 천체에 호기심을 가진다.</x:v>
      </x:c>
      <x:c r="D26" s="3"/>
      <x:c r="E26" s="3"/>
      <x:c r="F26" s="3"/>
      <x:c r="G26" s="3" t="s">
        <x:v>5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 spans="1:23">
      <x:c r="A27" t="s">
        <x:v>41</x:v>
      </x:c>
      <x:c r="B27" s="6" t="str">
        <x:f>LEFT(G27,SEARCH("]",G27))</x:f>
        <x:v>[9과07-04]</x:v>
      </x:c>
      <x:c r="C27" s="5" t="str">
        <x:f>MID(G27,SEARCH("]",G27)+1,200)</x:f>
        <x:v>달을 관측하여 달의 위상변화 원리를 이해하고,일식과 월식을 설명할 수 있다.</x:v>
      </x:c>
      <x:c r="D27" s="3"/>
      <x:c r="E27" s="3"/>
      <x:c r="F27" s="3"/>
      <x:c r="G27" s="3" t="s">
        <x:v>1861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 spans="1:23">
      <x:c r="A28" t="s">
        <x:v>41</x:v>
      </x:c>
      <x:c r="B28" s="6" t="str">
        <x:f>LEFT(G28,SEARCH("]",G28))</x:f>
        <x:v>[9과08-01]</x:v>
      </x:c>
      <x:c r="C28" s="5" t="str">
        <x:f>MID(G28,SEARCH("]",G28)+1,200)</x:f>
        <x:v>물질의 특성의 의미를 알고,실험을 통해 밀도,용해도,녹는점,끓는점 등을 설명할 수 있다.</x:v>
      </x:c>
      <x:c r="D28" s="3"/>
      <x:c r="E28" s="3"/>
      <x:c r="F28" s="3"/>
      <x:c r="G28" s="3" t="s">
        <x:v>126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 spans="1:23">
      <x:c r="A29" t="s">
        <x:v>41</x:v>
      </x:c>
      <x:c r="B29" s="6" t="str">
        <x:f>LEFT(G29,SEARCH("]",G29))</x:f>
        <x:v>[9과08-02]</x:v>
      </x:c>
      <x:c r="C29" s="5" t="str">
        <x:f>MID(G29,SEARCH("]",G29)+1,200)</x:f>
        <x:v>물질의 특성을 근거로 우리 주변의 물질을 순물질과 혼합물로 분류할 수 있다.</x:v>
      </x:c>
      <x:c r="D29" s="3"/>
      <x:c r="E29" s="3"/>
      <x:c r="F29" s="3"/>
      <x:c r="G29" s="3" t="s">
        <x:v>1869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 spans="1:23" ht="32.75">
      <x:c r="A30" t="s">
        <x:v>41</x:v>
      </x:c>
      <x:c r="B30" s="6" t="str">
        <x:f>LEFT(G30,SEARCH("]",G30))</x:f>
        <x:v>[9과08-03]</x:v>
      </x:c>
      <x:c r="C30" s="5" t="str">
        <x:f>MID(G30,SEARCH("]",G30)+1,200)</x:f>
        <x:v>물질의 특성을 이용하여 혼합물이 분리되는 원리를 이해하고,이를 이용한 사례를 주변에서 찾을 수 있다.</x:v>
      </x:c>
      <x:c r="D30" s="3"/>
      <x:c r="E30" s="3"/>
      <x:c r="F30" s="3"/>
      <x:c r="G30" s="3" t="s">
        <x:v>541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</x:row>
    <x:row r="31" spans="1:23">
      <x:c r="A31" t="s">
        <x:v>41</x:v>
      </x:c>
      <x:c r="B31" s="6" t="str">
        <x:f>LEFT(G31,SEARCH("]",G31))</x:f>
        <x:v>[9과09-01]</x:v>
      </x:c>
      <x:c r="C31" s="5" t="str">
        <x:f>MID(G31,SEARCH("]",G31)+1,200)</x:f>
        <x:v>지구계의 구성 요소를 알고,지권의 층상 구조와 그 특징을 조사⋅발표할 수 있다.</x:v>
      </x:c>
      <x:c r="D31" s="3"/>
      <x:c r="E31" s="3"/>
      <x:c r="F31" s="3"/>
      <x:c r="G31" s="3" t="s">
        <x:v>138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</x:row>
    <x:row r="32" spans="1:23" ht="32.75">
      <x:c r="A32" t="s">
        <x:v>41</x:v>
      </x:c>
      <x:c r="B32" s="6" t="str">
        <x:f>LEFT(G32,SEARCH("]",G32))</x:f>
        <x:v>[9과09-02]</x:v>
      </x:c>
      <x:c r="C32" s="5" t="str">
        <x:f>MID(G32,SEARCH("]",G32)+1,200)</x:f>
        <x:v>조암 광물의 주요 특성을 관찰하고,암석과 광물의 활용 방안 및 자원으로서 가치에 대해조사할 수 있다.</x:v>
      </x:c>
      <x:c r="D32" s="3"/>
      <x:c r="E32" s="3"/>
      <x:c r="F32" s="3"/>
      <x:c r="G32" s="3" t="s">
        <x:v>543</x:v>
      </x:c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</x:row>
    <x:row r="33" spans="1:23">
      <x:c r="A33" t="s">
        <x:v>41</x:v>
      </x:c>
      <x:c r="B33" s="6" t="str">
        <x:f>LEFT(G33,SEARCH("]",G33))</x:f>
        <x:v>[9과09-03]</x:v>
      </x:c>
      <x:c r="C33" s="5" t="str">
        <x:f>MID(G33,SEARCH("]",G33)+1,200)</x:f>
        <x:v>지각을 이루는 암석을 생성 과정에 따라 분류하고,암석의 순환 과정을 설명할 수 있다.</x:v>
      </x:c>
      <x:c r="D33" s="3"/>
      <x:c r="E33" s="3"/>
      <x:c r="F33" s="3"/>
      <x:c r="G33" s="3" t="s">
        <x:v>123</x:v>
      </x:c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 spans="1:23">
      <x:c r="A34" t="s">
        <x:v>41</x:v>
      </x:c>
      <x:c r="B34" s="6" t="str">
        <x:f>LEFT(G34,SEARCH("]",G34))</x:f>
        <x:v>[9과09-04]</x:v>
      </x:c>
      <x:c r="C34" s="5" t="str">
        <x:f>MID(G34,SEARCH("]",G34)+1,200)</x:f>
        <x:v>풍화 과정을 이해하고,토양 생성 과정을 풍화 작용의 예로 설명할 수 있다.</x:v>
      </x:c>
      <x:c r="D34" s="3"/>
      <x:c r="E34" s="3"/>
      <x:c r="F34" s="3"/>
      <x:c r="G34" s="3" t="s">
        <x:v>1863</x:v>
      </x:c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 spans="1:23" ht="32.75">
      <x:c r="A35" t="s">
        <x:v>41</x:v>
      </x:c>
      <x:c r="B35" s="6" t="str">
        <x:f>LEFT(G35,SEARCH("]",G35))</x:f>
        <x:v>[9과09-05]</x:v>
      </x:c>
      <x:c r="C35" s="5" t="str">
        <x:f>MID(G35,SEARCH("]",G35)+1,200)</x:f>
        <x:v>대륙이동설을 이해하고,지진과 화산이 발생하는 지역의 분포를 판의 경계와 관련지어설명할 수 있다.</x:v>
      </x:c>
      <x:c r="D35" s="3"/>
      <x:c r="E35" s="3"/>
      <x:c r="F35" s="3"/>
      <x:c r="G35" s="3" t="s">
        <x:v>12</x:v>
      </x:c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 spans="1:23" ht="32.75">
      <x:c r="A36" t="s">
        <x:v>41</x:v>
      </x:c>
      <x:c r="B36" s="6" t="str">
        <x:f>LEFT(G36,SEARCH("]",G36))</x:f>
        <x:v>[9과10-01]</x:v>
      </x:c>
      <x:c r="C36" s="5" t="str">
        <x:f>MID(G36,SEARCH("]",G36)+1,200)</x:f>
        <x:v>빛의 반사와 굴절의 원리를 이해하고,물체를 보는 과정을 빛의 경로를 이용하여 표현할 수 있다.</x:v>
      </x:c>
      <x:c r="D36" s="3"/>
      <x:c r="E36" s="3"/>
      <x:c r="F36" s="3"/>
      <x:c r="G36" s="3" t="s">
        <x:v>9</x:v>
      </x:c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 spans="1:23" ht="32.75">
      <x:c r="A37" t="s">
        <x:v>41</x:v>
      </x:c>
      <x:c r="B37" s="6" t="str">
        <x:f>LEFT(G37,SEARCH("]",G37))</x:f>
        <x:v>[9과10-02]</x:v>
      </x:c>
      <x:c r="C37" s="5" t="str">
        <x:f>MID(G37,SEARCH("]",G37)+1,200)</x:f>
        <x:v>평면거울에서 상이 생기는 원리를 설명하고,일상생활에서 사용되는 거울과 렌즈의 종류를분류하고 상의 특징을 비교할 수 있다.</x:v>
      </x:c>
      <x:c r="D37" s="3"/>
      <x:c r="E37" s="3"/>
      <x:c r="F37" s="3"/>
      <x:c r="G37" s="3" t="s">
        <x:v>1899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 spans="1:23" ht="32.75">
      <x:c r="A38" t="s">
        <x:v>41</x:v>
      </x:c>
      <x:c r="B38" s="6" t="str">
        <x:f>LEFT(G38,SEARCH("]",G38))</x:f>
        <x:v>[9과10-03]</x:v>
      </x:c>
      <x:c r="C38" s="5" t="str">
        <x:f>MID(G38,SEARCH("]",G38)+1,200)</x:f>
        <x:v>물체의 색을 빛의 반사와 관련지어 설명하고,영상 장치에서 빛의 합성을 이용하여 다양한색이 표현되는 원리를 이해할 수 있다.</x:v>
      </x:c>
      <x:c r="D38" s="3"/>
      <x:c r="E38" s="3"/>
      <x:c r="F38" s="3"/>
      <x:c r="G38" s="3" t="s">
        <x:v>1897</x:v>
      </x:c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 spans="1:23" ht="32.75">
      <x:c r="A39" t="s">
        <x:v>41</x:v>
      </x:c>
      <x:c r="B39" s="6" t="str">
        <x:f>LEFT(G39,SEARCH("]",G39))</x:f>
        <x:v>[9과10-04]</x:v>
      </x:c>
      <x:c r="C39" s="5" t="str">
        <x:f>MID(G39,SEARCH("]",G39)+1,200)</x:f>
        <x:v>파동의 발생과 전달 과정을 이해하고,소리의 특성을 진폭,진동수,파형 등의 과학적 용어로 표현할 수 있다.</x:v>
      </x:c>
      <x:c r="D39" s="3"/>
      <x:c r="E39" s="3"/>
      <x:c r="F39" s="3"/>
      <x:c r="G39" s="3" t="s">
        <x:v>531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 spans="1:23">
      <x:c r="A40" t="s">
        <x:v>41</x:v>
      </x:c>
      <x:c r="B40" s="6" t="str">
        <x:f>LEFT(G40,SEARCH("]",G40))</x:f>
        <x:v>[9과11-01]</x:v>
      </x:c>
      <x:c r="C40" s="5" t="str">
        <x:f>MID(G40,SEARCH("]",G40)+1,200)</x:f>
        <x:v>원소와 화합물의 정의를 알고,원소와 화합물을 화학식으로 표현할 수 있다.</x:v>
      </x:c>
      <x:c r="D40" s="3"/>
      <x:c r="E40" s="3"/>
      <x:c r="F40" s="3"/>
      <x:c r="G40" s="3" t="s">
        <x:v>1865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 spans="1:23" ht="32.75">
      <x:c r="A41" t="s">
        <x:v>41</x:v>
      </x:c>
      <x:c r="B41" s="6" t="str">
        <x:f>LEFT(G41,SEARCH("]",G41))</x:f>
        <x:v>[9과11-02]</x:v>
      </x:c>
      <x:c r="C41" s="5" t="str">
        <x:f>MID(G41,SEARCH("]",G41)+1,200)</x:f>
        <x:v>원소를 구성하는 입자인 원자는 양성자,중성자,전자로 구성되며,양성자의 수에 따라원소의 종류가 달라짐을 입자 모형을 활용하여 설명할 수 있다.</x:v>
      </x:c>
      <x:c r="D41" s="3"/>
      <x:c r="E41" s="3"/>
      <x:c r="F41" s="3"/>
      <x:c r="G41" s="3" t="s">
        <x:v>289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 spans="1:23" ht="32.75">
      <x:c r="A42" t="s">
        <x:v>41</x:v>
      </x:c>
      <x:c r="B42" s="6" t="str">
        <x:f>LEFT(G42,SEARCH("]",G42))</x:f>
        <x:v>[9과11-03]</x:v>
      </x:c>
      <x:c r="C42" s="5" t="str">
        <x:f>MID(G42,SEARCH("]",G42)+1,200)</x:f>
        <x:v>원소는 양성자의 수에 따라 주기율표에 배치됨을 알고,주기율표에서 성질이 유사한 원소를찾을 수 있다.</x:v>
      </x:c>
      <x:c r="D42" s="3"/>
      <x:c r="E42" s="3"/>
      <x:c r="F42" s="3"/>
      <x:c r="G42" s="3" t="s">
        <x:v>528</x:v>
      </x:c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 spans="1:23" ht="32.75">
      <x:c r="A43" t="s">
        <x:v>41</x:v>
      </x:c>
      <x:c r="B43" s="6" t="str">
        <x:f>LEFT(G43,SEARCH("]",G43))</x:f>
        <x:v>[9과11-04]</x:v>
      </x:c>
      <x:c r="C43" s="5" t="str">
        <x:f>MID(G43,SEARCH("]",G43)+1,200)</x:f>
        <x:v>물질을 이루는 입자는 원자,분자,이온 등으로 존재할 수 있음을 알고,이온은 전하를 띠고 있음을 설명할 수 있다.</x:v>
      </x:c>
      <x:c r="D43" s="3"/>
      <x:c r="E43" s="3"/>
      <x:c r="F43" s="3"/>
      <x:c r="G43" s="3" t="s">
        <x:v>350</x:v>
      </x:c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 spans="1:23">
      <x:c r="A44" t="s">
        <x:v>41</x:v>
      </x:c>
      <x:c r="B44" s="6" t="str">
        <x:f>LEFT(G44,SEARCH("]",G44))</x:f>
        <x:v>[9과12-01]</x:v>
      </x:c>
      <x:c r="C44" s="5" t="str">
        <x:f>MID(G44,SEARCH("]",G44)+1,200)</x:f>
        <x:v>광합성 과정을 이해하고,환경 요인과 광합성의 관계를 탐구하는 실험을 설계할 수 있다.</x:v>
      </x:c>
      <x:c r="D44" s="3"/>
      <x:c r="E44" s="3"/>
      <x:c r="F44" s="3"/>
      <x:c r="G44" s="3" t="s">
        <x:v>131</x:v>
      </x:c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 spans="1:23" ht="32.75">
      <x:c r="A45" t="s">
        <x:v>41</x:v>
      </x:c>
      <x:c r="B45" s="6" t="str">
        <x:f>LEFT(G45,SEARCH("]",G45))</x:f>
        <x:v>[9과12-02]</x:v>
      </x:c>
      <x:c r="C45" s="5" t="str">
        <x:f>MID(G45,SEARCH("]",G45)+1,200)</x:f>
        <x:v>식물의 호흡과 광합성의 관계를 이해하고,호흡과 광합성 과정에서 출입하는 에너지와물질의 변화를 분석할 수 있다.</x:v>
      </x:c>
      <x:c r="D45" s="3"/>
      <x:c r="E45" s="3"/>
      <x:c r="F45" s="3"/>
      <x:c r="G45" s="3" t="s">
        <x:v>67</x:v>
      </x:c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 spans="1:23">
      <x:c r="A46" t="s">
        <x:v>41</x:v>
      </x:c>
      <x:c r="B46" s="6" t="str">
        <x:f>LEFT(G46,SEARCH("]",G46))</x:f>
        <x:v>[9과12-03]</x:v>
      </x:c>
      <x:c r="C46" s="5" t="str">
        <x:f>MID(G46,SEARCH("]",G46)+1,200)</x:f>
        <x:v>광합성 산물의 저장과 이용 과정을 이해하고,모형으로설명할수 있다.</x:v>
      </x:c>
      <x:c r="D46" s="3"/>
      <x:c r="E46" s="3"/>
      <x:c r="F46" s="3"/>
      <x:c r="G46" s="3" t="s">
        <x:v>1682</x:v>
      </x:c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 spans="1:23">
      <x:c r="A47" t="s">
        <x:v>41</x:v>
      </x:c>
      <x:c r="B47" s="6" t="str">
        <x:f>LEFT(G47,SEARCH("]",G47))</x:f>
        <x:v>[9과13-01]</x:v>
      </x:c>
      <x:c r="C47" s="5" t="str">
        <x:f>MID(G47,SEARCH("]",G47)+1,200)</x:f>
        <x:v>소화계의 구조와 기능을 이해하고,소화 과정을 소화 효소의 작용과 관련지어 추론할 수 있다.</x:v>
      </x:c>
      <x:c r="D47" s="3"/>
      <x:c r="E47" s="3"/>
      <x:c r="F47" s="3"/>
      <x:c r="G47" s="3" t="s">
        <x:v>115</x:v>
      </x:c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 spans="1:23">
      <x:c r="A48" t="s">
        <x:v>41</x:v>
      </x:c>
      <x:c r="B48" s="6" t="str">
        <x:f>LEFT(G48,SEARCH("]",G48))</x:f>
        <x:v>[9과13-02]</x:v>
      </x:c>
      <x:c r="C48" s="5" t="str">
        <x:f>MID(G48,SEARCH("]",G48)+1,200)</x:f>
        <x:v>순환계의 구조와 기능을 이해하고,혈액의 순환 경로를 종합하여 발표할 수 있다.</x:v>
      </x:c>
      <x:c r="D48" s="3"/>
      <x:c r="E48" s="3"/>
      <x:c r="F48" s="3"/>
      <x:c r="G48" s="3" t="s">
        <x:v>137</x:v>
      </x:c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 spans="1:23">
      <x:c r="A49" t="s">
        <x:v>41</x:v>
      </x:c>
      <x:c r="B49" s="6" t="str">
        <x:f>LEFT(G49,SEARCH("]",G49))</x:f>
        <x:v>[9과13-03]</x:v>
      </x:c>
      <x:c r="C49" s="5" t="str">
        <x:f>MID(G49,SEARCH("]",G49)+1,200)</x:f>
        <x:v>호흡계의 구조와 기능을 이해하고,호흡 운동의 원리를 나타내는 모형을 만들 수 있다.</x:v>
      </x:c>
      <x:c r="D49" s="3"/>
      <x:c r="E49" s="3"/>
      <x:c r="F49" s="3"/>
      <x:c r="G49" s="3" t="s">
        <x:v>139</x:v>
      </x:c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 spans="1:23">
      <x:c r="A50" t="s">
        <x:v>41</x:v>
      </x:c>
      <x:c r="B50" s="6" t="str">
        <x:f>LEFT(G50,SEARCH("]",G50))</x:f>
        <x:v>[9과13-04]</x:v>
      </x:c>
      <x:c r="C50" s="5" t="str">
        <x:f>MID(G50,SEARCH("]",G50)+1,200)</x:f>
        <x:v>배설계의 구조와 기능을 이해하고,노폐물이 배설되는 과정을 모식도로 표현할 수 있다.</x:v>
      </x:c>
      <x:c r="D50" s="3"/>
      <x:c r="E50" s="3"/>
      <x:c r="F50" s="3"/>
      <x:c r="G50" s="3" t="s">
        <x:v>135</x:v>
      </x:c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 spans="1:23" ht="32.75">
      <x:c r="A51" t="s">
        <x:v>41</x:v>
      </x:c>
      <x:c r="B51" s="6" t="str">
        <x:f>LEFT(G51,SEARCH("]",G51))</x:f>
        <x:v>[9과13-05]</x:v>
      </x:c>
      <x:c r="C51" s="5" t="str">
        <x:f>MID(G51,SEARCH("]",G51)+1,200)</x:f>
        <x:v>동물이 세포호흡을 통해 에너지를 얻는 과정을 소화,순환,호흡,배설과 관련지어 통합적으로 설명할 수 있다.</x:v>
      </x:c>
      <x:c r="D51" s="3"/>
      <x:c r="E51" s="3"/>
      <x:c r="F51" s="3"/>
      <x:c r="G51" s="3" t="s">
        <x:v>534</x:v>
      </x:c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 spans="1:23">
      <x:c r="A52" t="s">
        <x:v>41</x:v>
      </x:c>
      <x:c r="B52" s="6" t="str">
        <x:f>LEFT(G52,SEARCH("]",G52))</x:f>
        <x:v>[9과14-01]</x:v>
      </x:c>
      <x:c r="C52" s="5" t="str">
        <x:f>MID(G52,SEARCH("]",G52)+1,200)</x:f>
        <x:v>마찰 전기,정전기 유도 현상을 관찰하고,이를 전기력과 원자 모형을 이용하여 설명할 수 있다.</x:v>
      </x:c>
      <x:c r="D52" s="3"/>
      <x:c r="E52" s="3"/>
      <x:c r="F52" s="3"/>
      <x:c r="G52" s="3" t="s">
        <x:v>11</x:v>
      </x:c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 spans="1:23" ht="32.75">
      <x:c r="A53" t="s">
        <x:v>41</x:v>
      </x:c>
      <x:c r="B53" s="6" t="str">
        <x:f>LEFT(G53,SEARCH("]",G53))</x:f>
        <x:v>[9과14-02]</x:v>
      </x:c>
      <x:c r="C53" s="5" t="str">
        <x:f>MID(G53,SEARCH("]",G53)+1,200)</x:f>
        <x:v>전기 회로에서 전류를 모형으로 설명하고,실험을 통해 저항,전류,전압 사이의 관계를 이끌어낼 수 있다.</x:v>
      </x:c>
      <x:c r="D53" s="3"/>
      <x:c r="E53" s="3"/>
      <x:c r="F53" s="3"/>
      <x:c r="G53" s="3" t="s">
        <x:v>536</x:v>
      </x:c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 spans="1:23" ht="32.75">
      <x:c r="A54" t="s">
        <x:v>41</x:v>
      </x:c>
      <x:c r="B54" s="6" t="str">
        <x:f>LEFT(G54,SEARCH("]",G54))</x:f>
        <x:v>[9과14-03]</x:v>
      </x:c>
      <x:c r="C54" s="5" t="str">
        <x:f>MID(G54,SEARCH("]",G54)+1,200)</x:f>
        <x:v>저항의 직렬연결과 병렬연결의 특징을 비교하고,일상생활에서 전기 에너지가 다양한 형태의 에너지로 전환됨을 소비 전력과 관련지어 설명할 수 있다.</x:v>
      </x:c>
      <x:c r="D54" s="3"/>
      <x:c r="E54" s="3"/>
      <x:c r="F54" s="3"/>
      <x:c r="G54" s="3" t="s">
        <x:v>1760</x:v>
      </x:c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 spans="1:23" ht="32.75">
      <x:c r="A55" t="s">
        <x:v>41</x:v>
      </x:c>
      <x:c r="B55" s="6" t="str">
        <x:f>LEFT(G55,SEARCH("]",G55))</x:f>
        <x:v>[9과14-04]</x:v>
      </x:c>
      <x:c r="C55" s="5" t="str">
        <x:f>MID(G55,SEARCH("]",G55)+1,200)</x:f>
        <x:v>자기장 안에 놓인 전류가 흐르는 코일이 받는 힘의 특성을 추리하고,전동기 등 일상생활에서 활용한 예를 찾을 수 있다.</x:v>
      </x:c>
      <x:c r="D55" s="3"/>
      <x:c r="E55" s="3"/>
      <x:c r="F55" s="3"/>
      <x:c r="G55" s="3" t="s">
        <x:v>798</x:v>
      </x:c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 spans="1:23" ht="32.75">
      <x:c r="A56" t="s">
        <x:v>41</x:v>
      </x:c>
      <x:c r="B56" s="6" t="str">
        <x:f>LEFT(G56,SEARCH("]",G56))</x:f>
        <x:v>[9과15-01]</x:v>
      </x:c>
      <x:c r="C56" s="5" t="str">
        <x:f>MID(G56,SEARCH("]",G56)+1,200)</x:f>
        <x:v>연주시차를 이용하여 별까지의 거리를 구할 수 있고,별의 등급과 밝기의 관계 및 표면 온도와 색의 관계를 설명할 수 있다.</x:v>
      </x:c>
      <x:c r="D56" s="3"/>
      <x:c r="E56" s="3"/>
      <x:c r="F56" s="3"/>
      <x:c r="G56" s="3" t="s">
        <x:v>1894</x:v>
      </x:c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 spans="1:23">
      <x:c r="A57" t="s">
        <x:v>41</x:v>
      </x:c>
      <x:c r="B57" s="6" t="str">
        <x:f>LEFT(G57,SEARCH("]",G57))</x:f>
        <x:v>[9과15-02]</x:v>
      </x:c>
      <x:c r="C57" s="5" t="str">
        <x:f>MID(G57,SEARCH("]",G57)+1,200)</x:f>
        <x:v>우리은하의 구조와 크기를 이해하고,성운과 성단의 특징을 비교할 수 있다.</x:v>
      </x:c>
      <x:c r="D57" s="3"/>
      <x:c r="E57" s="3"/>
      <x:c r="F57" s="3"/>
      <x:c r="G57" s="3" t="s">
        <x:v>1867</x:v>
      </x:c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 spans="1:23">
      <x:c r="A58" t="s">
        <x:v>41</x:v>
      </x:c>
      <x:c r="B58" s="6" t="str">
        <x:f>LEFT(G58,SEARCH("]",G58))</x:f>
        <x:v>[9과15-03]</x:v>
      </x:c>
      <x:c r="C58" s="5" t="str">
        <x:f>MID(G58,SEARCH("]",G58)+1,200)</x:f>
        <x:v>모형을 이용하여 우주가 팽창하고 있음을 설명할 수 있다.</x:v>
      </x:c>
      <x:c r="D58" s="3"/>
      <x:c r="E58" s="3"/>
      <x:c r="F58" s="3"/>
      <x:c r="G58" s="3" t="s">
        <x:v>253</x:v>
      </x:c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 spans="1:23">
      <x:c r="A59" t="s">
        <x:v>41</x:v>
      </x:c>
      <x:c r="B59" s="6" t="str">
        <x:f>LEFT(G59,SEARCH("]",G59))</x:f>
        <x:v>[9과15-04]</x:v>
      </x:c>
      <x:c r="C59" s="5" t="str">
        <x:f>MID(G59,SEARCH("]",G59)+1,200)</x:f>
        <x:v>우주탐사의 의의와 인류에게 미치는 영향을 조사하여 과학의 유용성을 인식할 수 있다.</x:v>
      </x:c>
      <x:c r="D59" s="3"/>
      <x:c r="E59" s="3"/>
      <x:c r="F59" s="3"/>
      <x:c r="G59" s="3" t="s">
        <x:v>140</x:v>
      </x:c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</x:row>
    <x:row r="60" spans="1:23">
      <x:c r="A60" t="s">
        <x:v>41</x:v>
      </x:c>
      <x:c r="B60" s="6" t="str">
        <x:f>LEFT(G60,SEARCH("]",G60))</x:f>
        <x:v>[9과16-01]</x:v>
      </x:c>
      <x:c r="C60" s="5" t="str">
        <x:f>MID(G60,SEARCH("]",G60)+1,200)</x:f>
        <x:v>물리 변화와 화학 변화의 의미를 알고,화학 변화에서 새로운 물질이 생성됨을 관찰할 수 있다.</x:v>
      </x:c>
      <x:c r="D60" s="3"/>
      <x:c r="E60" s="3"/>
      <x:c r="F60" s="3"/>
      <x:c r="G60" s="3" t="s">
        <x:v>321</x:v>
      </x:c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</x:row>
    <x:row r="61" spans="1:23" ht="32.75">
      <x:c r="A61" t="s">
        <x:v>41</x:v>
      </x:c>
      <x:c r="B61" s="6" t="str">
        <x:f>LEFT(G61,SEARCH("]",G61))</x:f>
        <x:v>[9과16-02]</x:v>
      </x:c>
      <x:c r="C61" s="5" t="str">
        <x:f>MID(G61,SEARCH("]",G61)+1,200)</x:f>
        <x:v>간단한 화학 반응을 화학 반응식으로 표현하고,화학 반응식에서 계수의 비를 입자 수의 비로 해석할 수 있다.</x:v>
      </x:c>
      <x:c r="D61" s="3"/>
      <x:c r="E61" s="3"/>
      <x:c r="F61" s="3"/>
      <x:c r="G61" s="3" t="s">
        <x:v>65</x:v>
      </x:c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</x:row>
    <x:row r="62" spans="1:23">
      <x:c r="A62" t="s">
        <x:v>41</x:v>
      </x:c>
      <x:c r="B62" s="6" t="str">
        <x:f>LEFT(G62,SEARCH("]",G62))</x:f>
        <x:v>[9과16-03]</x:v>
      </x:c>
      <x:c r="C62" s="5" t="str">
        <x:f>MID(G62,SEARCH("]",G62)+1,200)</x:f>
        <x:v>화학 반응에서 질량이 보존됨을 실험을 통해 추론할 수 있다.</x:v>
      </x:c>
      <x:c r="D62" s="3"/>
      <x:c r="E62" s="3"/>
      <x:c r="F62" s="3"/>
      <x:c r="G62" s="3" t="s">
        <x:v>259</x:v>
      </x:c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 spans="1:23">
      <x:c r="A63" t="s">
        <x:v>41</x:v>
      </x:c>
      <x:c r="B63" s="6" t="str">
        <x:f>LEFT(G63,SEARCH("]",G63))</x:f>
        <x:v>[9과16-04]</x:v>
      </x:c>
      <x:c r="C63" s="5" t="str">
        <x:f>MID(G63,SEARCH("]",G63)+1,200)</x:f>
        <x:v>화합물을 구성하는 성분 원소의 질량비가 일정함을 실험 자료를 해석하여 설명할 수 있다.</x:v>
      </x:c>
      <x:c r="D63" s="3"/>
      <x:c r="E63" s="3"/>
      <x:c r="F63" s="3"/>
      <x:c r="G63" s="3" t="s">
        <x:v>114</x:v>
      </x:c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 spans="1:23">
      <x:c r="A64" t="s">
        <x:v>41</x:v>
      </x:c>
      <x:c r="B64" s="6" t="str">
        <x:f>LEFT(G64,SEARCH("]",G64))</x:f>
        <x:v>[9과16-05]</x:v>
      </x:c>
      <x:c r="C64" s="5" t="str">
        <x:f>MID(G64,SEARCH("]",G64)+1,200)</x:f>
        <x:v>기체 반응에서 기체 부피 사이의 비가 일정함을 실험 자료를 해석하여 설명할 수 있다.</x:v>
      </x:c>
      <x:c r="D64" s="3"/>
      <x:c r="E64" s="3"/>
      <x:c r="F64" s="3"/>
      <x:c r="G64" s="3" t="s">
        <x:v>122</x:v>
      </x:c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 spans="1:23">
      <x:c r="A65" t="s">
        <x:v>41</x:v>
      </x:c>
      <x:c r="B65" s="6" t="str">
        <x:f>LEFT(G65,SEARCH("]",G65))</x:f>
        <x:v>[9과16-06]</x:v>
      </x:c>
      <x:c r="C65" s="5" t="str">
        <x:f>MID(G65,SEARCH("]",G65)+1,200)</x:f>
        <x:v>화학 반응에서 열에너지가 출입함을 알고,생활 속 사례를 조사하여 발표할 수 있다.</x:v>
      </x:c>
      <x:c r="D65" s="3"/>
      <x:c r="E65" s="3"/>
      <x:c r="F65" s="3"/>
      <x:c r="G65" s="3" t="s">
        <x:v>134</x:v>
      </x:c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 spans="1:23" ht="32.75">
      <x:c r="A66" t="s">
        <x:v>41</x:v>
      </x:c>
      <x:c r="B66" s="6" t="str">
        <x:f>LEFT(G66,SEARCH("]",G66))</x:f>
        <x:v>[9과17-01]</x:v>
      </x:c>
      <x:c r="C66" s="5" t="str">
        <x:f>MID(G66,SEARCH("]",G66)+1,200)</x:f>
        <x:v>지구 대기권을4개 권역으로 구분하며,온실효과와 지구온난화를 복사 평형의 관점으로 설명할 수 있다.</x:v>
      </x:c>
      <x:c r="D66" s="3"/>
      <x:c r="E66" s="3"/>
      <x:c r="F66" s="3"/>
      <x:c r="G66" s="3" t="s">
        <x:v>324</x:v>
      </x:c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 spans="1:23">
      <x:c r="A67" t="s">
        <x:v>41</x:v>
      </x:c>
      <x:c r="B67" s="6" t="str">
        <x:f>LEFT(G67,SEARCH("]",G67))</x:f>
        <x:v>[9과17-02]</x:v>
      </x:c>
      <x:c r="C67" s="5" t="str">
        <x:f>MID(G67,SEARCH("]",G67)+1,200)</x:f>
        <x:v>대기 대순환에서 위도별 바람의 특성을 파악하고,대기 대순환의 역할을 설명할 수 있다.</x:v>
      </x:c>
      <x:c r="D67" s="3"/>
      <x:c r="E67" s="3"/>
      <x:c r="F67" s="3"/>
      <x:c r="G67" s="3" t="s">
        <x:v>117</x:v>
      </x:c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 spans="1:23" ht="32.75">
      <x:c r="A68" t="s">
        <x:v>41</x:v>
      </x:c>
      <x:c r="B68" s="6" t="str">
        <x:f>LEFT(G68,SEARCH("]",G68))</x:f>
        <x:v>[9과17-03]</x:v>
      </x:c>
      <x:c r="C68" s="5" t="str">
        <x:f>MID(G68,SEARCH("]",G68)+1,200)</x:f>
        <x:v>상대습도,단열 팽창 및 응결 현상의 관계를 이해하고,구름의 생성과 강수 과정을 설명할 수 있다.</x:v>
      </x:c>
      <x:c r="D68" s="3"/>
      <x:c r="E68" s="3"/>
      <x:c r="F68" s="3"/>
      <x:c r="G68" s="3" t="s">
        <x:v>328</x:v>
      </x:c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 spans="1:23" ht="32.75">
      <x:c r="A69" t="s">
        <x:v>41</x:v>
      </x:c>
      <x:c r="B69" s="6" t="str">
        <x:f>LEFT(G69,SEARCH("]",G69))</x:f>
        <x:v>[9과17-04]</x:v>
      </x:c>
      <x:c r="C69" s="5" t="str">
        <x:f>MID(G69,SEARCH("]",G69)+1,200)</x:f>
        <x:v>기압,기단,전선의 개념을 이해하고,일기도에서 저기압과 고기압의 분포에 따른 날씨를 해석할 수 있다.</x:v>
      </x:c>
      <x:c r="D69" s="3"/>
      <x:c r="E69" s="3"/>
      <x:c r="F69" s="3"/>
      <x:c r="G69" s="3" t="s">
        <x:v>533</x:v>
      </x:c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 spans="1:23" ht="32.75">
      <x:c r="A70" t="s">
        <x:v>41</x:v>
      </x:c>
      <x:c r="B70" s="6" t="str">
        <x:f>LEFT(G70,SEARCH("]",G70))</x:f>
        <x:v>[9과18-01]</x:v>
      </x:c>
      <x:c r="C70" s="5" t="str">
        <x:f>MID(G70,SEARCH("]",G70)+1,200)</x:f>
        <x:v>수권에서 해수,담수,빙하의 분포와 활용 사례를 조사하고,자원으로서 물의 가치에 대해토론할 수 있다.</x:v>
      </x:c>
      <x:c r="D70" s="3"/>
      <x:c r="E70" s="3"/>
      <x:c r="F70" s="3"/>
      <x:c r="G70" s="3" t="s">
        <x:v>537</x:v>
      </x:c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 spans="1:23">
      <x:c r="A71" t="s">
        <x:v>41</x:v>
      </x:c>
      <x:c r="B71" s="6" t="str">
        <x:f>LEFT(G71,SEARCH("]",G71))</x:f>
        <x:v>[9과18-02]</x:v>
      </x:c>
      <x:c r="C71" s="5" t="str">
        <x:f>MID(G71,SEARCH("]",G71)+1,200)</x:f>
        <x:v>해수의 수온과 염분의 분포 및 변화를 해석하여 해수의 특성을 설명할 수 있다.</x:v>
      </x:c>
      <x:c r="D71" s="3"/>
      <x:c r="E71" s="3"/>
      <x:c r="F71" s="3"/>
      <x:c r="G71" s="3" t="s">
        <x:v>1914</x:v>
      </x:c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 spans="1:23" ht="32.75">
      <x:c r="A72" t="s">
        <x:v>41</x:v>
      </x:c>
      <x:c r="B72" s="6" t="str">
        <x:f>LEFT(G72,SEARCH("]",G72))</x:f>
        <x:v>[9과18-03]</x:v>
      </x:c>
      <x:c r="C72" s="5" t="str">
        <x:f>MID(G72,SEARCH("]",G72)+1,200)</x:f>
        <x:v>대기 대순환과 해양 표층 순환과의 관계를 이해하고,기후변화에 영향을 미치는 해류의역할을 설명할 수 있다.</x:v>
      </x:c>
      <x:c r="D72" s="3"/>
      <x:c r="E72" s="3"/>
      <x:c r="F72" s="3"/>
      <x:c r="G72" s="3" t="s">
        <x:v>538</x:v>
      </x:c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 spans="1:23">
      <x:c r="A73" t="s">
        <x:v>41</x:v>
      </x:c>
      <x:c r="B73" s="6" t="str">
        <x:f>LEFT(G73,SEARCH("]",G73))</x:f>
        <x:v>[9과19-01]</x:v>
      </x:c>
      <x:c r="C73" s="5" t="str">
        <x:f>MID(G73,SEARCH("]",G73)+1,200)</x:f>
        <x:v>직선상에서 움직이는 물체의 운동을 그래프로 나타내고 해석할 수 있다.</x:v>
      </x:c>
      <x:c r="D73" s="3"/>
      <x:c r="E73" s="3"/>
      <x:c r="F73" s="3"/>
      <x:c r="G73" s="3" t="s">
        <x:v>1675</x:v>
      </x:c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 spans="1:23">
      <x:c r="A74" t="s">
        <x:v>41</x:v>
      </x:c>
      <x:c r="B74" s="6" t="str">
        <x:f>LEFT(G74,SEARCH("]",G74))</x:f>
        <x:v>[9과19-02]</x:v>
      </x:c>
      <x:c r="C74" s="5" t="str">
        <x:f>MID(G74,SEARCH("]",G74)+1,200)</x:f>
        <x:v>자유 낙하하는 물체의 운동에서 시간에 따른 속력의 변화가 일정함을 분석할 수 있다.</x:v>
      </x:c>
      <x:c r="D74" s="3"/>
      <x:c r="E74" s="3"/>
      <x:c r="F74" s="3"/>
      <x:c r="G74" s="3" t="s">
        <x:v>1924</x:v>
      </x:c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 spans="1:23" ht="32.75">
      <x:c r="A75" t="s">
        <x:v>41</x:v>
      </x:c>
      <x:c r="B75" s="6" t="str">
        <x:f>LEFT(G75,SEARCH("]",G75))</x:f>
        <x:v>[9과19-03]</x:v>
      </x:c>
      <x:c r="C75" s="5" t="str">
        <x:f>MID(G75,SEARCH("]",G75)+1,200)</x:f>
        <x:v>일의 정의를 알고,자유 낙하하는 물체의 운동에서 중력이 한 일을 위치 에너지와 운동 에너지로 표현할 수 있다.</x:v>
      </x:c>
      <x:c r="D75" s="3"/>
      <x:c r="E75" s="3"/>
      <x:c r="F75" s="3"/>
      <x:c r="G75" s="3" t="s">
        <x:v>6</x:v>
      </x:c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 spans="1:23" ht="32.75">
      <x:c r="A76" t="s">
        <x:v>41</x:v>
      </x:c>
      <x:c r="B76" s="6" t="str">
        <x:f>LEFT(G76,SEARCH("]",G76))</x:f>
        <x:v>[9과19-04]</x:v>
      </x:c>
      <x:c r="C76" s="5" t="str">
        <x:f>MID(G76,SEARCH("]",G76)+1,200)</x:f>
        <x:v>물체의 운동에서 역학적 에너지의 전환과 보존을 이해하고,이를 활용하여 일상생활 속 물체의 운동을 예측할 수 있다.</x:v>
      </x:c>
      <x:c r="D76" s="3"/>
      <x:c r="E76" s="3"/>
      <x:c r="F76" s="3"/>
      <x:c r="G76" s="3" t="s">
        <x:v>800</x:v>
      </x:c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 spans="1:23">
      <x:c r="A77" t="s">
        <x:v>41</x:v>
      </x:c>
      <x:c r="B77" s="6" t="str">
        <x:f>LEFT(G77,SEARCH("]",G77))</x:f>
        <x:v>[9과20-01]</x:v>
      </x:c>
      <x:c r="C77" s="5" t="str">
        <x:f>MID(G77,SEARCH("]",G77)+1,200)</x:f>
        <x:v>감각기관의 구조와 기능을 이해하고,실험을 통해 자극이 뇌로 전달되는 과정을 추론할 수 있다.</x:v>
      </x:c>
      <x:c r="D77" s="3"/>
      <x:c r="E77" s="3"/>
      <x:c r="F77" s="3"/>
      <x:c r="G77" s="3" t="s">
        <x:v>325</x:v>
      </x:c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 spans="1:23" ht="32.75">
      <x:c r="A78" t="s">
        <x:v>41</x:v>
      </x:c>
      <x:c r="B78" s="6" t="str">
        <x:f>LEFT(G78,SEARCH("]",G78))</x:f>
        <x:v>[9과20-02]</x:v>
      </x:c>
      <x:c r="C78" s="5" t="str">
        <x:f>MID(G78,SEARCH("]",G78)+1,200)</x:f>
        <x:v>뉴런과 신경계의 구조와 기능을 이해하고,자극에서 반응이 일어나기까지의 과정을 모형으로설명할 수 있다.</x:v>
      </x:c>
      <x:c r="D78" s="3"/>
      <x:c r="E78" s="3"/>
      <x:c r="F78" s="3"/>
      <x:c r="G78" s="3" t="s">
        <x:v>545</x:v>
      </x:c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 spans="1:23">
      <x:c r="A79" t="s">
        <x:v>41</x:v>
      </x:c>
      <x:c r="B79" s="6" t="str">
        <x:f>LEFT(G79,SEARCH("]",G79))</x:f>
        <x:v>[9과20-03]</x:v>
      </x:c>
      <x:c r="C79" s="5" t="str">
        <x:f>MID(G79,SEARCH("]",G79)+1,200)</x:f>
        <x:v>우리 몸의 기능 조절에 호르몬이 관여함을 알고,관련 자료를 조사하여 발표할 수 있다.</x:v>
      </x:c>
      <x:c r="D79" s="3"/>
      <x:c r="E79" s="3"/>
      <x:c r="F79" s="3"/>
      <x:c r="G79" s="3" t="s">
        <x:v>133</x:v>
      </x:c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  <x:row r="80" spans="1:23">
      <x:c r="A80" t="s">
        <x:v>41</x:v>
      </x:c>
      <x:c r="B80" s="6" t="str">
        <x:f>LEFT(G80,SEARCH("]",G80))</x:f>
        <x:v>[9과21-01]</x:v>
      </x:c>
      <x:c r="C80" s="5" t="str">
        <x:f>MID(G80,SEARCH("]",G80)+1,200)</x:f>
        <x:v>개체의 생장에 세포분열이 필요한 이유를 세포의 표면적과 부피의 관계로 추론할 수 있다.</x:v>
      </x:c>
      <x:c r="D80" s="3"/>
      <x:c r="E80" s="3"/>
      <x:c r="F80" s="3"/>
      <x:c r="G80" s="3" t="s">
        <x:v>130</x:v>
      </x:c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</x:row>
    <x:row r="81" spans="1:23" ht="32.75">
      <x:c r="A81" t="s">
        <x:v>41</x:v>
      </x:c>
      <x:c r="B81" s="6" t="str">
        <x:f>LEFT(G81,SEARCH("]",G81))</x:f>
        <x:v>[9과21-02]</x:v>
      </x:c>
      <x:c r="C81" s="5" t="str">
        <x:f>MID(G81,SEARCH("]",G81)+1,200)</x:f>
        <x:v>염색체와 유전자의 관계를 이해하고,체세포분열과 생식세포 형성과정의 특징을 염색체행동을 중심으로 해석할 수 있다.</x:v>
      </x:c>
      <x:c r="D81" s="3"/>
      <x:c r="E81" s="3"/>
      <x:c r="F81" s="3"/>
      <x:c r="G81" s="3" t="s">
        <x:v>206</x:v>
      </x:c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</x:row>
    <x:row r="82" spans="1:23">
      <x:c r="A82" t="s">
        <x:v>41</x:v>
      </x:c>
      <x:c r="B82" s="6" t="str">
        <x:f>LEFT(G82,SEARCH("]",G82))</x:f>
        <x:v>[9과21-03]</x:v>
      </x:c>
      <x:c r="C82" s="5" t="str">
        <x:f>MID(G82,SEARCH("]",G82)+1,200)</x:f>
        <x:v>수정란으로부터 개체가 발생하는 과정을 모형으로 표현할 수 있다.</x:v>
      </x:c>
      <x:c r="D82" s="3"/>
      <x:c r="E82" s="3"/>
      <x:c r="F82" s="3"/>
      <x:c r="G82" s="3" t="s">
        <x:v>1689</x:v>
      </x:c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</x:row>
    <x:row r="83" spans="1:23" ht="32.75">
      <x:c r="A83" t="s">
        <x:v>41</x:v>
      </x:c>
      <x:c r="B83" s="6" t="str">
        <x:f>LEFT(G83,SEARCH("]",G83))</x:f>
        <x:v>[9과21-04]</x:v>
      </x:c>
      <x:c r="C83" s="5" t="str">
        <x:f>MID(G83,SEARCH("]",G83)+1,200)</x:f>
        <x:v>멘델 유전 실험의 의의와 원리를 이해하고,멘델 유전 원리가 적용되는 유전 현상을 조사하여협력적으로 소통할 수 있다.</x:v>
      </x:c>
      <x:c r="D83" s="3"/>
      <x:c r="E83" s="3"/>
      <x:c r="F83" s="3"/>
      <x:c r="G83" s="3" t="s">
        <x:v>801</x:v>
      </x:c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</x:row>
    <x:row r="84" spans="1:23" ht="32.75">
      <x:c r="A84" t="s">
        <x:v>41</x:v>
      </x:c>
      <x:c r="B84" s="6" t="str">
        <x:f>LEFT(G84,SEARCH("]",G84))</x:f>
        <x:v>[9과21-05]</x:v>
      </x:c>
      <x:c r="C84" s="5" t="str">
        <x:f>MID(G84,SEARCH("]",G84)+1,200)</x:f>
        <x:v>사람의 유전 형질과 유전 연구 방법을 알고,가계도를 분석하여 사람의 유전 현상을 설명할 수 있다.</x:v>
      </x:c>
      <x:c r="D84" s="3"/>
      <x:c r="E84" s="3"/>
      <x:c r="F84" s="3"/>
      <x:c r="G84" s="3" t="s">
        <x:v>71</x:v>
      </x:c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</x:row>
    <x:row r="85" spans="1:23" ht="32.75">
      <x:c r="A85" t="s">
        <x:v>41</x:v>
      </x:c>
      <x:c r="B85" s="6" t="str">
        <x:f>LEFT(G85,SEARCH("]",G85))</x:f>
        <x:v>[9과22-01]</x:v>
      </x:c>
      <x:c r="C85" s="5" t="str">
        <x:f>MID(G85,SEARCH("]",G85)+1,200)</x:f>
        <x:v>재해⋅재난 사례와 관련된 자료를 조사하고,그 발생 원인과 피해에 대해 과학적으로 분석할 수 있다.</x:v>
      </x:c>
      <x:c r="D85" s="3"/>
      <x:c r="E85" s="3"/>
      <x:c r="F85" s="3"/>
      <x:c r="G85" s="3" t="s">
        <x:v>70</x:v>
      </x:c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</x:row>
    <x:row r="86" spans="1:23">
      <x:c r="A86" t="s">
        <x:v>41</x:v>
      </x:c>
      <x:c r="B86" s="6" t="str">
        <x:f>LEFT(G86,SEARCH("]",G86))</x:f>
        <x:v>[9과22-02]</x:v>
      </x:c>
      <x:c r="C86" s="5" t="str">
        <x:f>MID(G86,SEARCH("]",G86)+1,200)</x:f>
        <x:v>과학적 원리를 이용하여 재해⋅재난에 대한 대비 및 대처 방안을 세울 수 있다.</x:v>
      </x:c>
      <x:c r="D86" s="3"/>
      <x:c r="E86" s="3"/>
      <x:c r="F86" s="3"/>
      <x:c r="G86" s="3" t="s">
        <x:v>1925</x:v>
      </x:c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</x:row>
    <x:row r="87" spans="1:23" ht="32.75">
      <x:c r="A87" t="s">
        <x:v>41</x:v>
      </x:c>
      <x:c r="B87" s="6" t="str">
        <x:f>LEFT(G87,SEARCH("]",G87))</x:f>
        <x:v>[9과23-01]</x:v>
      </x:c>
      <x:c r="C87" s="5" t="str">
        <x:f>MID(G87,SEARCH("]",G87)+1,200)</x:f>
        <x:v>과학과 관련된 직업의 종류와 하는 일을 조사하고,과학기술의 발달로 생기는 미래 사회의직업 변화를 예상할 수 있다.</x:v>
      </x:c>
      <x:c r="D87" s="3"/>
      <x:c r="E87" s="3"/>
      <x:c r="F87" s="3"/>
      <x:c r="G87" s="3" t="s">
        <x:v>1638</x:v>
      </x:c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</x:row>
    <x:row r="88" spans="1:23" ht="32.75">
      <x:c r="A88" t="s">
        <x:v>41</x:v>
      </x:c>
      <x:c r="B88" s="6" t="str">
        <x:f>LEFT(G88,SEARCH("]",G88))</x:f>
        <x:v>[9과23-02]</x:v>
      </x:c>
      <x:c r="C88" s="5" t="str">
        <x:f>MID(G88,SEARCH("]",G88)+1,200)</x:f>
        <x:v>자신의 진로와 관련 있는 과학 분야를 조사하고,진로 선택을 위하여 필요한 과학 학습을계획할 수 있다.</x:v>
      </x:c>
      <x:c r="D88" s="3"/>
      <x:c r="E88" s="3"/>
      <x:c r="F88" s="3"/>
      <x:c r="G88" s="3" t="s">
        <x:v>540</x:v>
      </x:c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</x:row>
    <x:row r="89" spans="1:23">
      <x:c r="A89" t="s">
        <x:v>31</x:v>
      </x:c>
      <x:c r="B89" s="6" t="str">
        <x:f>LEFT(G89,SEARCH("]",G89))</x:f>
        <x:v>[9국01-01]</x:v>
      </x:c>
      <x:c r="C89" s="5" t="str">
        <x:f>MID(G89,SEARCH("]",G89)+1,200)</x:f>
        <x:v>화자의 의도와 관점을 추론하며 듣는다.</x:v>
      </x:c>
      <x:c r="D89" s="3"/>
      <x:c r="E89" s="3"/>
      <x:c r="F89" s="3"/>
      <x:c r="G89" s="3" t="s">
        <x:v>1721</x:v>
      </x:c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</x:row>
    <x:row r="90" spans="1:23">
      <x:c r="A90" t="s">
        <x:v>31</x:v>
      </x:c>
      <x:c r="B90" s="6" t="str">
        <x:f>LEFT(G90,SEARCH("]",G90))</x:f>
        <x:v>[9국01-02]</x:v>
      </x:c>
      <x:c r="C90" s="5" t="str">
        <x:f>MID(G90,SEARCH("]",G90)+1,200)</x:f>
        <x:v>설득 전략을 비판적으로 분석하며 듣는다.</x:v>
      </x:c>
      <x:c r="D90" s="3"/>
      <x:c r="E90" s="3"/>
      <x:c r="F90" s="3"/>
      <x:c r="G90" s="3" t="s">
        <x:v>1722</x:v>
      </x:c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</x:row>
    <x:row r="91" spans="1:23">
      <x:c r="A91" t="s">
        <x:v>31</x:v>
      </x:c>
      <x:c r="B91" s="6" t="str">
        <x:f>LEFT(G91,SEARCH("]",G91))</x:f>
        <x:v>[9국01-03]</x:v>
      </x:c>
      <x:c r="C91" s="5" t="str">
        <x:f>MID(G91,SEARCH("]",G91)+1,200)</x:f>
        <x:v>담화 공동체에 따른 듣기⋅말하기 방식의 다양성을 고려하여 듣고 말한다.</x:v>
      </x:c>
      <x:c r="D91" s="3"/>
      <x:c r="E91" s="3"/>
      <x:c r="F91" s="3"/>
      <x:c r="G91" s="3" t="s">
        <x:v>1868</x:v>
      </x:c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</x:row>
    <x:row r="92" spans="1:23">
      <x:c r="A92" t="s">
        <x:v>31</x:v>
      </x:c>
      <x:c r="B92" s="6" t="str">
        <x:f>LEFT(G92,SEARCH("]",G92))</x:f>
        <x:v>[9국01-04]</x:v>
      </x:c>
      <x:c r="C92" s="5" t="str">
        <x:f>MID(G92,SEARCH("]",G92)+1,200)</x:f>
        <x:v>상대의 말을 경청하고 상대의 감정과 입장에 공감하는 반응을 보이며 대화한다.</x:v>
      </x:c>
      <x:c r="D92" s="3"/>
      <x:c r="E92" s="3"/>
      <x:c r="F92" s="3"/>
      <x:c r="G92" s="3" t="s">
        <x:v>1883</x:v>
      </x:c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</x:row>
    <x:row r="93" spans="1:23">
      <x:c r="A93" t="s">
        <x:v>31</x:v>
      </x:c>
      <x:c r="B93" s="6" t="str">
        <x:f>LEFT(G93,SEARCH("]",G93))</x:f>
        <x:v>[9국01-05]</x:v>
      </x:c>
      <x:c r="C93" s="5" t="str">
        <x:f>MID(G93,SEARCH("]",G93)+1,200)</x:f>
        <x:v>면담의 다양한 목적과 상대를 고려하여 질문을 점검하고 효과적으로 면담한다.</x:v>
      </x:c>
      <x:c r="D93" s="3"/>
      <x:c r="E93" s="3"/>
      <x:c r="F93" s="3"/>
      <x:c r="G93" s="3" t="s">
        <x:v>1875</x:v>
      </x:c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</x:row>
    <x:row r="94" spans="1:23">
      <x:c r="A94" t="s">
        <x:v>31</x:v>
      </x:c>
      <x:c r="B94" s="6" t="str">
        <x:f>LEFT(G94,SEARCH("]",G94))</x:f>
        <x:v>[9국01-06]</x:v>
      </x:c>
      <x:c r="C94" s="5" t="str">
        <x:f>MID(G94,SEARCH("]",G94)+1,200)</x:f>
        <x:v>다양한 자료를 재구성하여 내용을 체계적으로 조직하고 청중이 이해하기 쉽게 발표한다.</x:v>
      </x:c>
      <x:c r="D94" s="3"/>
      <x:c r="E94" s="3"/>
      <x:c r="F94" s="3"/>
      <x:c r="G94" s="3" t="s">
        <x:v>1915</x:v>
      </x:c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</x:row>
    <x:row r="95" spans="1:23">
      <x:c r="A95" t="s">
        <x:v>31</x:v>
      </x:c>
      <x:c r="B95" s="6" t="str">
        <x:f>LEFT(G95,SEARCH("]",G95))</x:f>
        <x:v>[9국01-07]</x:v>
      </x:c>
      <x:c r="C95" s="5" t="str">
        <x:f>MID(G95,SEARCH("]",G95)+1,200)</x:f>
        <x:v>토의에서 다양한 의견을 교환하여 대안을 마련하고 문제를 해결한다.</x:v>
      </x:c>
      <x:c r="D95" s="3"/>
      <x:c r="E95" s="3"/>
      <x:c r="F95" s="3"/>
      <x:c r="G95" s="3" t="s">
        <x:v>1679</x:v>
      </x:c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</x:row>
    <x:row r="96" spans="1:23">
      <x:c r="A96" t="s">
        <x:v>31</x:v>
      </x:c>
      <x:c r="B96" s="6" t="str">
        <x:f>LEFT(G96,SEARCH("]",G96))</x:f>
        <x:v>[9국01-08]</x:v>
      </x:c>
      <x:c r="C96" s="5" t="str">
        <x:f>MID(G96,SEARCH("]",G96)+1,200)</x:f>
        <x:v>토론에서 반론을 고려하여 타당한 논증을 구성하고 논리적으로 반박한다.</x:v>
      </x:c>
      <x:c r="D96" s="3"/>
      <x:c r="E96" s="3"/>
      <x:c r="F96" s="3"/>
      <x:c r="G96" s="3" t="s">
        <x:v>1685</x:v>
      </x:c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</x:row>
    <x:row r="97" spans="1:23">
      <x:c r="A97" t="s">
        <x:v>31</x:v>
      </x:c>
      <x:c r="B97" s="6" t="str">
        <x:f>LEFT(G97,SEARCH("]",G97))</x:f>
        <x:v>[9국01-09]</x:v>
      </x:c>
      <x:c r="C97" s="5" t="str">
        <x:f>MID(G97,SEARCH("]",G97)+1,200)</x:f>
        <x:v>서로의 감정이나 바라는 바를 진솔하게 표현하면서 갈등을 조정한다.</x:v>
      </x:c>
      <x:c r="D97" s="3"/>
      <x:c r="E97" s="3"/>
      <x:c r="F97" s="3"/>
      <x:c r="G97" s="3" t="s">
        <x:v>1676</x:v>
      </x:c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</x:row>
    <x:row r="98" spans="1:23">
      <x:c r="A98" t="s">
        <x:v>31</x:v>
      </x:c>
      <x:c r="B98" s="6" t="str">
        <x:f>LEFT(G98,SEARCH("]",G98))</x:f>
        <x:v>[9국01-10]</x:v>
      </x:c>
      <x:c r="C98" s="5" t="str">
        <x:f>MID(G98,SEARCH("]",G98)+1,200)</x:f>
        <x:v>언어폭력의 문제점을 성찰하고,서로를 존중하는 표현을 사용하여 말한다.</x:v>
      </x:c>
      <x:c r="D98" s="3"/>
      <x:c r="E98" s="3"/>
      <x:c r="F98" s="3"/>
      <x:c r="G98" s="3" t="s">
        <x:v>1678</x:v>
      </x:c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</x:row>
    <x:row r="99" spans="1:23">
      <x:c r="A99" t="s">
        <x:v>31</x:v>
      </x:c>
      <x:c r="B99" s="6" t="str">
        <x:f>LEFT(G99,SEARCH("]",G99))</x:f>
        <x:v>[9국01-11]</x:v>
      </x:c>
      <x:c r="C99" s="5" t="str">
        <x:f>MID(G99,SEARCH("]",G99)+1,200)</x:f>
        <x:v>듣기⋅말하기 과정을 점검하고 듣기⋅말하기의 어려움을 효과적으로 조정한다.</x:v>
      </x:c>
      <x:c r="D99" s="3"/>
      <x:c r="E99" s="3"/>
      <x:c r="F99" s="3"/>
      <x:c r="G99" s="3" t="s">
        <x:v>1871</x:v>
      </x:c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</x:row>
    <x:row r="100" spans="1:23" ht="32.75">
      <x:c r="A100" t="s">
        <x:v>31</x:v>
      </x:c>
      <x:c r="B100" s="6" t="str">
        <x:f>LEFT(G100,SEARCH("]",G100))</x:f>
        <x:v>[9국02-01]</x:v>
      </x:c>
      <x:c r="C100" s="5" t="str">
        <x:f>MID(G100,SEARCH("]",G100)+1,200)</x:f>
        <x:v>읽기는 사회⋅문화적 맥락에서 의미를 구성하는 과정임을 이해하며 사회적 독서에 참여하고 사회적 독서 문화 형성에 기여한다.</x:v>
      </x:c>
      <x:c r="D100" s="3"/>
      <x:c r="E100" s="3"/>
      <x:c r="F100" s="3"/>
      <x:c r="G100" s="3" t="s">
        <x:v>1898</x:v>
      </x:c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</x:row>
    <x:row r="101" spans="1:23">
      <x:c r="A101" t="s">
        <x:v>31</x:v>
      </x:c>
      <x:c r="B101" s="6" t="str">
        <x:f>LEFT(G101,SEARCH("]",G101))</x:f>
        <x:v>[9국02-02]</x:v>
      </x:c>
      <x:c r="C101" s="5" t="str">
        <x:f>MID(G101,SEARCH("]",G101)+1,200)</x:f>
        <x:v>읽기 목적과 글의 구조를 고려하며 글을 효과적으로 요약한다.</x:v>
      </x:c>
      <x:c r="D101" s="3"/>
      <x:c r="E101" s="3"/>
      <x:c r="F101" s="3"/>
      <x:c r="G101" s="3" t="s">
        <x:v>254</x:v>
      </x:c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</x:row>
    <x:row r="102" spans="1:23" ht="32.75">
      <x:c r="A102" t="s">
        <x:v>31</x:v>
      </x:c>
      <x:c r="B102" s="6" t="str">
        <x:f>LEFT(G102,SEARCH("]",G102))</x:f>
        <x:v>[9국02-03]</x:v>
      </x:c>
      <x:c r="C102" s="5" t="str">
        <x:f>MID(G102,SEARCH("]",G102)+1,200)</x:f>
        <x:v>독자의 배경지식과 글에 나타난 정보 등을 활용하여 글에 드러나지 않은 의도나 관점을 추론하며 읽는다.</x:v>
      </x:c>
      <x:c r="D102" s="3"/>
      <x:c r="E102" s="3"/>
      <x:c r="F102" s="3"/>
      <x:c r="G102" s="3" t="s">
        <x:v>526</x:v>
      </x:c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</x:row>
    <x:row r="103" spans="1:23" ht="32.75">
      <x:c r="A103" t="s">
        <x:v>31</x:v>
      </x:c>
      <x:c r="B103" s="6" t="str">
        <x:f>LEFT(G103,SEARCH("]",G103))</x:f>
        <x:v>[9국02-04]</x:v>
      </x:c>
      <x:c r="C103" s="5" t="str">
        <x:f>MID(G103,SEARCH("]",G103)+1,200)</x:f>
        <x:v>복합양식으로 구성된 글이나 자료의 내용 타당성과 신뢰성,표현 방법의 적절성을 평가하며 읽는다.</x:v>
      </x:c>
      <x:c r="D103" s="3"/>
      <x:c r="E103" s="3"/>
      <x:c r="F103" s="3"/>
      <x:c r="G103" s="3" t="s">
        <x:v>68</x:v>
      </x:c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</x:row>
    <x:row r="104" spans="1:23">
      <x:c r="A104" t="s">
        <x:v>31</x:v>
      </x:c>
      <x:c r="B104" s="6" t="str">
        <x:f>LEFT(G104,SEARCH("]",G104))</x:f>
        <x:v>[9국02-05]</x:v>
      </x:c>
      <x:c r="C104" s="5" t="str">
        <x:f>MID(G104,SEARCH("]",G104)+1,200)</x:f>
        <x:v>글에 사용된 다양한 설명 방법과 논증 방법을 파악하고,그 타당성을 평가하며 읽는다.</x:v>
      </x:c>
      <x:c r="D104" s="3"/>
      <x:c r="E104" s="3"/>
      <x:c r="F104" s="3"/>
      <x:c r="G104" s="3" t="s">
        <x:v>1913</x:v>
      </x:c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</x:row>
    <x:row r="105" spans="1:23">
      <x:c r="A105" t="s">
        <x:v>31</x:v>
      </x:c>
      <x:c r="B105" s="6" t="str">
        <x:f>LEFT(G105,SEARCH("]",G105))</x:f>
        <x:v>[9국02-06]</x:v>
      </x:c>
      <x:c r="C105" s="5" t="str">
        <x:f>MID(G105,SEARCH("]",G105)+1,200)</x:f>
        <x:v>동일한 화제를 다룬 여러 글이나 자료를 주제 통합적으로 읽는다.</x:v>
      </x:c>
      <x:c r="D105" s="3"/>
      <x:c r="E105" s="3"/>
      <x:c r="F105" s="3"/>
      <x:c r="G105" s="3" t="s">
        <x:v>1677</x:v>
      </x:c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</x:row>
    <x:row r="106" spans="1:23">
      <x:c r="A106" t="s">
        <x:v>31</x:v>
      </x:c>
      <x:c r="B106" s="6" t="str">
        <x:f>LEFT(G106,SEARCH("]",G106))</x:f>
        <x:v>[9국02-07]</x:v>
      </x:c>
      <x:c r="C106" s="5" t="str">
        <x:f>MID(G106,SEARCH("]",G106)+1,200)</x:f>
        <x:v>진로나 관심 분야에 대한 다양한 책이나 자료를 스스로 찾아 읽는다.</x:v>
      </x:c>
      <x:c r="D106" s="3"/>
      <x:c r="E106" s="3"/>
      <x:c r="F106" s="3"/>
      <x:c r="G106" s="3" t="s">
        <x:v>1686</x:v>
      </x:c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</x:row>
    <x:row r="107" spans="1:23">
      <x:c r="A107" t="s">
        <x:v>31</x:v>
      </x:c>
      <x:c r="B107" s="6" t="str">
        <x:f>LEFT(G107,SEARCH("]",G107))</x:f>
        <x:v>[9국02-08]</x:v>
      </x:c>
      <x:c r="C107" s="5" t="str">
        <x:f>MID(G107,SEARCH("]",G107)+1,200)</x:f>
        <x:v>자신의 독서 상황과 수준에 맞는 글을 선정하고 읽기 과정을 점검⋅조정하며 읽는다.</x:v>
      </x:c>
      <x:c r="D107" s="3"/>
      <x:c r="E107" s="3"/>
      <x:c r="F107" s="3"/>
      <x:c r="G107" s="3" t="s">
        <x:v>1926</x:v>
      </x:c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</x:row>
    <x:row r="108" spans="1:23">
      <x:c r="A108" t="s">
        <x:v>31</x:v>
      </x:c>
      <x:c r="B108" s="6" t="str">
        <x:f>LEFT(G108,SEARCH("]",G108))</x:f>
        <x:v>[9국03-01]</x:v>
      </x:c>
      <x:c r="C108" s="5" t="str">
        <x:f>MID(G108,SEARCH("]",G108)+1,200)</x:f>
        <x:v>대상의 특성에 적합한 설명 방법을 활용하여 글을 쓴다.</x:v>
      </x:c>
      <x:c r="D108" s="3"/>
      <x:c r="E108" s="3"/>
      <x:c r="F108" s="3"/>
      <x:c r="G108" s="3" t="s">
        <x:v>1757</x:v>
      </x:c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</x:row>
    <x:row r="109" spans="1:23">
      <x:c r="A109" t="s">
        <x:v>31</x:v>
      </x:c>
      <x:c r="B109" s="6" t="str">
        <x:f>LEFT(G109,SEARCH("]",G109))</x:f>
        <x:v>[9국03-02]</x:v>
      </x:c>
      <x:c r="C109" s="5" t="str">
        <x:f>MID(G109,SEARCH("]",G109)+1,200)</x:f>
        <x:v>복수의 자료를 활용하여 다양한 형식으로 정보를 전달하는 글을 쓴다.</x:v>
      </x:c>
      <x:c r="D109" s="3"/>
      <x:c r="E109" s="3"/>
      <x:c r="F109" s="3"/>
      <x:c r="G109" s="3" t="s">
        <x:v>1690</x:v>
      </x:c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</x:row>
    <x:row r="110" spans="1:23">
      <x:c r="A110" t="s">
        <x:v>31</x:v>
      </x:c>
      <x:c r="B110" s="6" t="str">
        <x:f>LEFT(G110,SEARCH("]",G110))</x:f>
        <x:v>[9국03-03]</x:v>
      </x:c>
      <x:c r="C110" s="5" t="str">
        <x:f>MID(G110,SEARCH("]",G110)+1,200)</x:f>
        <x:v>주장을 뒷받침할 수 있는 타당한 근거를 들고 적절한 표현을 사용하여 주장하는 글을 쓴다.</x:v>
      </x:c>
      <x:c r="D110" s="3"/>
      <x:c r="E110" s="3"/>
      <x:c r="F110" s="3"/>
      <x:c r="G110" s="3" t="s">
        <x:v>118</x:v>
      </x:c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</x:row>
    <x:row r="111" spans="1:23" ht="32.75">
      <x:c r="A111" t="s">
        <x:v>31</x:v>
      </x:c>
      <x:c r="B111" s="6" t="str">
        <x:f>LEFT(G111,SEARCH("]",G111))</x:f>
        <x:v>[9국03-04]</x:v>
      </x:c>
      <x:c r="C111" s="5" t="str">
        <x:f>MID(G111,SEARCH("]",G111)+1,200)</x:f>
        <x:v>의견 차이가 있는 사안에 대해 자료를 수집하고 사회⋅문화적 맥락을 고려하며 주장하는 글을 쓴다.</x:v>
      </x:c>
      <x:c r="D111" s="3"/>
      <x:c r="E111" s="3"/>
      <x:c r="F111" s="3"/>
      <x:c r="G111" s="3" t="s">
        <x:v>2</x:v>
      </x:c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</x:row>
    <x:row r="112" spans="1:23">
      <x:c r="A112" t="s">
        <x:v>31</x:v>
      </x:c>
      <x:c r="B112" s="6" t="str">
        <x:f>LEFT(G112,SEARCH("]",G112))</x:f>
        <x:v>[9국03-05]</x:v>
      </x:c>
      <x:c r="C112" s="5" t="str">
        <x:f>MID(G112,SEARCH("]",G112)+1,200)</x:f>
        <x:v>자신의 삶과 경험을 바탕으로 정서를 진솔하게 표현하는 글을 쓴다.</x:v>
      </x:c>
      <x:c r="D112" s="3"/>
      <x:c r="E112" s="3"/>
      <x:c r="F112" s="3"/>
      <x:c r="G112" s="3" t="s">
        <x:v>1680</x:v>
      </x:c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</x:row>
    <x:row r="113" spans="1:23">
      <x:c r="A113" t="s">
        <x:v>31</x:v>
      </x:c>
      <x:c r="B113" s="6" t="str">
        <x:f>LEFT(G113,SEARCH("]",G113))</x:f>
        <x:v>[9국03-06]</x:v>
      </x:c>
      <x:c r="C113" s="5" t="str">
        <x:f>MID(G113,SEARCH("]",G113)+1,200)</x:f>
        <x:v>다양한 표현을 활용하여 자신의 생각과 느낌이 드러나는 글을 쓰고 독자와 공유한다.</x:v>
      </x:c>
      <x:c r="D113" s="3"/>
      <x:c r="E113" s="3"/>
      <x:c r="F113" s="3"/>
      <x:c r="G113" s="3" t="s">
        <x:v>1928</x:v>
      </x:c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</x:row>
    <x:row r="114" spans="1:23">
      <x:c r="A114" t="s">
        <x:v>31</x:v>
      </x:c>
      <x:c r="B114" s="6" t="str">
        <x:f>LEFT(G114,SEARCH("]",G114))</x:f>
        <x:v>[9국03-07]</x:v>
      </x:c>
      <x:c r="C114" s="5" t="str">
        <x:f>MID(G114,SEARCH("]",G114)+1,200)</x:f>
        <x:v>복합양식 자료를 활용하여 내용을 생성하고 글의 유형을 고려하여 내용을 조직하며 글을 쓴다.</x:v>
      </x:c>
      <x:c r="D114" s="3"/>
      <x:c r="E114" s="3"/>
      <x:c r="F114" s="3"/>
      <x:c r="G114" s="3" t="s">
        <x:v>120</x:v>
      </x:c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</x:row>
    <x:row r="115" spans="1:23">
      <x:c r="A115" t="s">
        <x:v>31</x:v>
      </x:c>
      <x:c r="B115" s="6" t="str">
        <x:f>LEFT(G115,SEARCH("]",G115))</x:f>
        <x:v>[9국03-08]</x:v>
      </x:c>
      <x:c r="C115" s="5" t="str">
        <x:f>MID(G115,SEARCH("]",G115)+1,200)</x:f>
        <x:v>쓰기 과정과 전략을 점검⋅조정하며 글을 쓰고,독자를 고려하여 글을 고쳐 쓴다.</x:v>
      </x:c>
      <x:c r="D115" s="3"/>
      <x:c r="E115" s="3"/>
      <x:c r="F115" s="3"/>
      <x:c r="G115" s="3" t="s">
        <x:v>1920</x:v>
      </x:c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</x:row>
    <x:row r="116" spans="1:23" ht="32.75">
      <x:c r="A116" t="s">
        <x:v>31</x:v>
      </x:c>
      <x:c r="B116" s="6" t="str">
        <x:f>LEFT(G116,SEARCH("]",G116))</x:f>
        <x:v>[9국03-09]</x:v>
      </x:c>
      <x:c r="C116" s="5" t="str">
        <x:f>MID(G116,SEARCH("]",G116)+1,200)</x:f>
        <x:v>언어 공동체의 구성원인 필자로서 자신에 대해 성찰하며,윤리적 소통 문화를 형성하는데에 기여한다.</x:v>
      </x:c>
      <x:c r="D116" s="3"/>
      <x:c r="E116" s="3"/>
      <x:c r="F116" s="3"/>
      <x:c r="G116" s="3" t="s">
        <x:v>4</x:v>
      </x:c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</x:row>
    <x:row r="117" spans="1:23">
      <x:c r="A117" t="s">
        <x:v>31</x:v>
      </x:c>
      <x:c r="B117" s="6" t="str">
        <x:f>LEFT(G117,SEARCH("]",G117))</x:f>
        <x:v>[9국04-01]</x:v>
      </x:c>
      <x:c r="C117" s="5" t="str">
        <x:f>MID(G117,SEARCH("]",G117)+1,200)</x:f>
        <x:v>국어의 음운 체계와 문자 체계를 이해하고 국어생활에 활용한다.</x:v>
      </x:c>
      <x:c r="D117" s="3"/>
      <x:c r="E117" s="3"/>
      <x:c r="F117" s="3"/>
      <x:c r="G117" s="3" t="s">
        <x:v>255</x:v>
      </x:c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</x:row>
    <x:row r="118" spans="1:23">
      <x:c r="A118" t="s">
        <x:v>31</x:v>
      </x:c>
      <x:c r="B118" s="6" t="str">
        <x:f>LEFT(G118,SEARCH("]",G118))</x:f>
        <x:v>[9국04-02]</x:v>
      </x:c>
      <x:c r="C118" s="5" t="str">
        <x:f>MID(G118,SEARCH("]",G118)+1,200)</x:f>
        <x:v>단어의 짜임을 분석하여 새말 형성의 원리를 이해한다.</x:v>
      </x:c>
      <x:c r="D118" s="3"/>
      <x:c r="E118" s="3"/>
      <x:c r="F118" s="3"/>
      <x:c r="G118" s="3" t="s">
        <x:v>1756</x:v>
      </x:c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</x:row>
    <x:row r="119" spans="1:23">
      <x:c r="A119" t="s">
        <x:v>31</x:v>
      </x:c>
      <x:c r="B119" s="6" t="str">
        <x:f>LEFT(G119,SEARCH("]",G119))</x:f>
        <x:v>[9국04-03]</x:v>
      </x:c>
      <x:c r="C119" s="5" t="str">
        <x:f>MID(G119,SEARCH("]",G119)+1,200)</x:f>
        <x:v>품사의 종류와 특성을 이해하고 국어 자료를 분석한다.</x:v>
      </x:c>
      <x:c r="D119" s="3"/>
      <x:c r="E119" s="3"/>
      <x:c r="F119" s="3"/>
      <x:c r="G119" s="3" t="s">
        <x:v>1732</x:v>
      </x:c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</x:row>
    <x:row r="120" spans="1:23">
      <x:c r="A120" t="s">
        <x:v>31</x:v>
      </x:c>
      <x:c r="B120" s="6" t="str">
        <x:f>LEFT(G120,SEARCH("]",G120))</x:f>
        <x:v>[9국04-04]</x:v>
      </x:c>
      <x:c r="C120" s="5" t="str">
        <x:f>MID(G120,SEARCH("]",G120)+1,200)</x:f>
        <x:v>문장의 짜임을 이해하고 표현 효과를 고려하여 문장을 구성한다.</x:v>
      </x:c>
      <x:c r="D120" s="3"/>
      <x:c r="E120" s="3"/>
      <x:c r="F120" s="3"/>
      <x:c r="G120" s="3" t="s">
        <x:v>249</x:v>
      </x:c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</x:row>
    <x:row r="121" spans="1:23">
      <x:c r="A121" t="s">
        <x:v>31</x:v>
      </x:c>
      <x:c r="B121" s="6" t="str">
        <x:f>LEFT(G121,SEARCH("]",G121))</x:f>
        <x:v>[9국04-05]</x:v>
      </x:c>
      <x:c r="C121" s="5" t="str">
        <x:f>MID(G121,SEARCH("]",G121)+1,200)</x:f>
        <x:v>피동 표현과 인용 표현의 의도와 효과를 분석하고 상황에 맞게 활용한다.</x:v>
      </x:c>
      <x:c r="D121" s="3"/>
      <x:c r="E121" s="3"/>
      <x:c r="F121" s="3"/>
      <x:c r="G121" s="3" t="s">
        <x:v>1884</x:v>
      </x:c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</x:row>
    <x:row r="122" spans="1:23">
      <x:c r="A122" t="s">
        <x:v>31</x:v>
      </x:c>
      <x:c r="B122" s="6" t="str">
        <x:f>LEFT(G122,SEARCH("]",G122))</x:f>
        <x:v>[9국04-06]</x:v>
      </x:c>
      <x:c r="C122" s="5" t="str">
        <x:f>MID(G122,SEARCH("]",G122)+1,200)</x:f>
        <x:v>한글 맞춤법의 기본 원리와 내용을 이해하고 국어생활에 적용한다.</x:v>
      </x:c>
      <x:c r="D122" s="3"/>
      <x:c r="E122" s="3"/>
      <x:c r="F122" s="3"/>
      <x:c r="G122" s="3" t="s">
        <x:v>1672</x:v>
      </x:c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</x:row>
    <x:row r="123" spans="1:23" ht="32.75">
      <x:c r="A123" t="s">
        <x:v>31</x:v>
      </x:c>
      <x:c r="B123" s="6" t="str">
        <x:f>LEFT(G123,SEARCH("]",G123))</x:f>
        <x:v>[9국04-07]</x:v>
      </x:c>
      <x:c r="C123" s="5" t="str">
        <x:f>MID(G123,SEARCH("]",G123)+1,200)</x:f>
        <x:v>세대⋅분야⋅매체에 따른 어휘의 양상과 쓰임을 분석하고 다양한 집단과 사회의 언어에 관용적 태도를 지닌다.</x:v>
      </x:c>
      <x:c r="D123" s="3"/>
      <x:c r="E123" s="3"/>
      <x:c r="F123" s="3"/>
      <x:c r="G123" s="3" t="s">
        <x:v>525</x:v>
      </x:c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</x:row>
    <x:row r="124" spans="1:23" ht="32.75">
      <x:c r="A124" t="s">
        <x:v>31</x:v>
      </x:c>
      <x:c r="B124" s="6" t="str">
        <x:f>LEFT(G124,SEARCH("]",G124))</x:f>
        <x:v>[9국04-08]</x:v>
      </x:c>
      <x:c r="C124" s="5" t="str">
        <x:f>MID(G124,SEARCH("]",G124)+1,200)</x:f>
        <x:v>자신과 주변의 다양한 국어 실천 양상을 비판적으로 분석하여 언어와 자아 및 세계 사이의관계를 인식한다.</x:v>
      </x:c>
      <x:c r="D124" s="3"/>
      <x:c r="E124" s="3"/>
      <x:c r="F124" s="3"/>
      <x:c r="G124" s="3" t="s">
        <x:v>530</x:v>
      </x:c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</x:row>
    <x:row r="125" spans="1:23">
      <x:c r="A125" t="s">
        <x:v>31</x:v>
      </x:c>
      <x:c r="B125" s="6" t="str">
        <x:f>LEFT(G125,SEARCH("]",G125))</x:f>
        <x:v>[9국05-01]</x:v>
      </x:c>
      <x:c r="C125" s="5" t="str">
        <x:f>MID(G125,SEARCH("]",G125)+1,200)</x:f>
        <x:v>운율,비유,상징의 특성과 효과에 유의하며 작품을 감상하고 창작한다.</x:v>
      </x:c>
      <x:c r="D125" s="3"/>
      <x:c r="E125" s="3"/>
      <x:c r="F125" s="3"/>
      <x:c r="G125" s="3" t="s">
        <x:v>1673</x:v>
      </x:c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</x:row>
    <x:row r="126" spans="1:23">
      <x:c r="A126" t="s">
        <x:v>31</x:v>
      </x:c>
      <x:c r="B126" s="6" t="str">
        <x:f>LEFT(G126,SEARCH("]",G126))</x:f>
        <x:v>[9국05-02]</x:v>
      </x:c>
      <x:c r="C126" s="5" t="str">
        <x:f>MID(G126,SEARCH("]",G126)+1,200)</x:f>
        <x:v>갈등의 진행과 해결 과정을 파악하며 작품을 감상한다.</x:v>
      </x:c>
      <x:c r="D126" s="3"/>
      <x:c r="E126" s="3"/>
      <x:c r="F126" s="3"/>
      <x:c r="G126" s="3" t="s">
        <x:v>1754</x:v>
      </x:c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</x:row>
    <x:row r="127" spans="1:23">
      <x:c r="A127" t="s">
        <x:v>31</x:v>
      </x:c>
      <x:c r="B127" s="6" t="str">
        <x:f>LEFT(G127,SEARCH("]",G127))</x:f>
        <x:v>[9국05-03]</x:v>
      </x:c>
      <x:c r="C127" s="5" t="str">
        <x:f>MID(G127,SEARCH("]",G127)+1,200)</x:f>
        <x:v>인간의 성장을 다룬 작품을 읽으며 문학의 가치를 내면화한다.</x:v>
      </x:c>
      <x:c r="D127" s="3"/>
      <x:c r="E127" s="3"/>
      <x:c r="F127" s="3"/>
      <x:c r="G127" s="3" t="s">
        <x:v>260</x:v>
      </x:c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</x:row>
    <x:row r="128" spans="1:23">
      <x:c r="A128" t="s">
        <x:v>31</x:v>
      </x:c>
      <x:c r="B128" s="6" t="str">
        <x:f>LEFT(G128,SEARCH("]",G128))</x:f>
        <x:v>[9국05-04]</x:v>
      </x:c>
      <x:c r="C128" s="5" t="str">
        <x:f>MID(G128,SEARCH("]",G128)+1,200)</x:f>
        <x:v>보는 이나 말하는 이의 특성과 효과를 파악하며 작품을 감상한다.</x:v>
      </x:c>
      <x:c r="D128" s="3"/>
      <x:c r="E128" s="3"/>
      <x:c r="F128" s="3"/>
      <x:c r="G128" s="3" t="s">
        <x:v>1674</x:v>
      </x:c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</x:row>
    <x:row r="129" spans="1:23">
      <x:c r="A129" t="s">
        <x:v>31</x:v>
      </x:c>
      <x:c r="B129" s="6" t="str">
        <x:f>LEFT(G129,SEARCH("]",G129))</x:f>
        <x:v>[9국05-05]</x:v>
      </x:c>
      <x:c r="C129" s="5" t="str">
        <x:f>MID(G129,SEARCH("]",G129)+1,200)</x:f>
        <x:v>작품에 반영된 사회⋅문화적 상황을 이해하며 작품을 감상한다.</x:v>
      </x:c>
      <x:c r="D129" s="3"/>
      <x:c r="E129" s="3"/>
      <x:c r="F129" s="3"/>
      <x:c r="G129" s="3" t="s">
        <x:v>251</x:v>
      </x:c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</x:row>
    <x:row r="130" spans="1:23">
      <x:c r="A130" t="s">
        <x:v>31</x:v>
      </x:c>
      <x:c r="B130" s="6" t="str">
        <x:f>LEFT(G130,SEARCH("]",G130))</x:f>
        <x:v>[9국05-06]</x:v>
      </x:c>
      <x:c r="C130" s="5" t="str">
        <x:f>MID(G130,SEARCH("]",G130)+1,200)</x:f>
        <x:v>자신의 경험을 개성적인 발상과 표현으로 형상화한다.</x:v>
      </x:c>
      <x:c r="D130" s="3"/>
      <x:c r="E130" s="3"/>
      <x:c r="F130" s="3"/>
      <x:c r="G130" s="3" t="s">
        <x:v>1740</x:v>
      </x:c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</x:row>
    <x:row r="131" spans="1:23">
      <x:c r="A131" t="s">
        <x:v>31</x:v>
      </x:c>
      <x:c r="B131" s="6" t="str">
        <x:f>LEFT(G131,SEARCH("]",G131))</x:f>
        <x:v>[9국05-07]</x:v>
      </x:c>
      <x:c r="C131" s="5" t="str">
        <x:f>MID(G131,SEARCH("]",G131)+1,200)</x:f>
        <x:v>연관성이 있는 다른 작품들과의 관계를 파악하며 작품을 감상한다.</x:v>
      </x:c>
      <x:c r="D131" s="3"/>
      <x:c r="E131" s="3"/>
      <x:c r="F131" s="3"/>
      <x:c r="G131" s="3" t="s">
        <x:v>1681</x:v>
      </x:c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</x:row>
    <x:row r="132" spans="1:23">
      <x:c r="A132" t="s">
        <x:v>31</x:v>
      </x:c>
      <x:c r="B132" s="6" t="str">
        <x:f>LEFT(G132,SEARCH("]",G132))</x:f>
        <x:v>[9국05-08]</x:v>
      </x:c>
      <x:c r="C132" s="5" t="str">
        <x:f>MID(G132,SEARCH("]",G132)+1,200)</x:f>
        <x:v>근거를 바탕으로 작품을 해석하고,다른 해석들과 비교하여 자신의 해석을 평가한다.</x:v>
      </x:c>
      <x:c r="D132" s="3"/>
      <x:c r="E132" s="3"/>
      <x:c r="F132" s="3"/>
      <x:c r="G132" s="3" t="s">
        <x:v>1918</x:v>
      </x:c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</x:row>
    <x:row r="133" spans="1:23">
      <x:c r="A133" t="s">
        <x:v>31</x:v>
      </x:c>
      <x:c r="B133" s="6" t="str">
        <x:f>LEFT(G133,SEARCH("]",G133))</x:f>
        <x:v>[9국05-09]</x:v>
      </x:c>
      <x:c r="C133" s="5" t="str">
        <x:f>MID(G133,SEARCH("]",G133)+1,200)</x:f>
        <x:v>문학을 통해 타자를 이해하고 공동체의 문제에 참여하는 태도를 지닌다.</x:v>
      </x:c>
      <x:c r="D133" s="3"/>
      <x:c r="E133" s="3"/>
      <x:c r="F133" s="3"/>
      <x:c r="G133" s="3" t="s">
        <x:v>1687</x:v>
      </x:c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</x:row>
    <x:row r="134" spans="1:23">
      <x:c r="A134" t="s">
        <x:v>31</x:v>
      </x:c>
      <x:c r="B134" s="6" t="str">
        <x:f>LEFT(G134,SEARCH("]",G134))</x:f>
        <x:v>[9국06-01]</x:v>
      </x:c>
      <x:c r="C134" s="5" t="str">
        <x:f>MID(G134,SEARCH("]",G134)+1,200)</x:f>
        <x:v>대중매체와 개인 인터넷 방송의 특성과 영향력을 비교한다.</x:v>
      </x:c>
      <x:c r="D134" s="3"/>
      <x:c r="E134" s="3"/>
      <x:c r="F134" s="3"/>
      <x:c r="G134" s="3" t="s">
        <x:v>252</x:v>
      </x:c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</x:row>
    <x:row r="135" spans="1:23">
      <x:c r="A135" t="s">
        <x:v>31</x:v>
      </x:c>
      <x:c r="B135" s="6" t="str">
        <x:f>LEFT(G135,SEARCH("]",G135))</x:f>
        <x:v>[9국06-02]</x:v>
      </x:c>
      <x:c r="C135" s="5" t="str">
        <x:f>MID(G135,SEARCH("]",G135)+1,200)</x:f>
        <x:v>소통 맥락과 수용자 참여 양상을 고려하여 상호 작용적 매체를 분석한다.</x:v>
      </x:c>
      <x:c r="D135" s="3"/>
      <x:c r="E135" s="3"/>
      <x:c r="F135" s="3"/>
      <x:c r="G135" s="3" t="s">
        <x:v>1879</x:v>
      </x:c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</x:row>
    <x:row r="136" spans="1:23">
      <x:c r="A136" t="s">
        <x:v>31</x:v>
      </x:c>
      <x:c r="B136" s="6" t="str">
        <x:f>LEFT(G136,SEARCH("]",G136))</x:f>
        <x:v>[9국06-03]</x:v>
      </x:c>
      <x:c r="C136" s="5" t="str">
        <x:f>MID(G136,SEARCH("]",G136)+1,200)</x:f>
        <x:v>복합양식성을 고려하여 영상 매체 자료를 제작하고 공유한다.</x:v>
      </x:c>
      <x:c r="D136" s="3"/>
      <x:c r="E136" s="3"/>
      <x:c r="F136" s="3"/>
      <x:c r="G136" s="3" t="s">
        <x:v>258</x:v>
      </x:c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</x:row>
    <x:row r="137" spans="1:23" ht="32.75">
      <x:c r="A137" t="s">
        <x:v>31</x:v>
      </x:c>
      <x:c r="B137" s="6" t="str">
        <x:f>LEFT(G137,SEARCH("]",G137))</x:f>
        <x:v>[9국06-04]</x:v>
      </x:c>
      <x:c r="C137" s="5" t="str">
        <x:f>MID(G137,SEARCH("]",G137)+1,200)</x:f>
        <x:v>매체 소통에서의 권리와 책임을 이해하고,수용자의 반응을 고려하며 매체 자료의 제작 과정을 성찰한다.</x:v>
      </x:c>
      <x:c r="D137" s="3"/>
      <x:c r="E137" s="3"/>
      <x:c r="F137" s="3"/>
      <x:c r="G137" s="3" t="s">
        <x:v>539</x:v>
      </x:c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</x:row>
    <x:row r="138" spans="1:23">
      <x:c r="A138" t="s">
        <x:v>31</x:v>
      </x:c>
      <x:c r="B138" s="6" t="str">
        <x:f>LEFT(G138,SEARCH("]",G138))</x:f>
        <x:v>[9국06-05]</x:v>
      </x:c>
      <x:c r="C138" s="5" t="str">
        <x:f>MID(G138,SEARCH("]",G138)+1,200)</x:f>
        <x:v>매체 자료의 재현 방식을 이해하고 광고나 홍보물을 분석한다.</x:v>
      </x:c>
      <x:c r="D138" s="3"/>
      <x:c r="E138" s="3"/>
      <x:c r="F138" s="3"/>
      <x:c r="G138" s="3" t="s">
        <x:v>256</x:v>
      </x:c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</x:row>
    <x:row r="139" spans="1:23">
      <x:c r="A139" t="s">
        <x:v>31</x:v>
      </x:c>
      <x:c r="B139" s="6" t="str">
        <x:f>LEFT(G139,SEARCH("]",G139))</x:f>
        <x:v>[9국06-06]</x:v>
      </x:c>
      <x:c r="C139" s="5" t="str">
        <x:f>MID(G139,SEARCH("]",G139)+1,200)</x:f>
        <x:v>사회⋅문화적 맥락을 고려하여 매체 자료의 공정성을 평가한다.</x:v>
      </x:c>
      <x:c r="D139" s="3"/>
      <x:c r="E139" s="3"/>
      <x:c r="F139" s="3"/>
      <x:c r="G139" s="3" t="s">
        <x:v>261</x:v>
      </x:c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</x:row>
    <x:row r="140" spans="1:23" ht="32.75">
      <x:c r="A140" t="s">
        <x:v>725</x:v>
      </x:c>
      <x:c r="B140" s="6" t="str">
        <x:f>LEFT(G140,SEARCH("]",G140))</x:f>
        <x:v>[9기가01-01]</x:v>
      </x:c>
      <x:c r="C140" s="5" t="str">
        <x:f>MID(G140,SEARCH("]",G140)+1,200)</x:f>
        <x:v>자아 존중감을 향상시키고 긍정적인 자아 정체성을 형성하기 위해 청소년기의 발달 특징을 자신의 발달 특징과 연결 지어 자신을 총체적으로 이해한다.</x:v>
      </x:c>
      <x:c r="D140" s="3"/>
      <x:c r="E140" s="3"/>
      <x:c r="F140" s="3"/>
      <x:c r="G140" s="3" t="s">
        <x:v>1770</x:v>
      </x:c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</x:row>
    <x:row r="141" spans="1:23" ht="32.75">
      <x:c r="A141" t="s">
        <x:v>725</x:v>
      </x:c>
      <x:c r="B141" s="6" t="str">
        <x:f>LEFT(G141,SEARCH("]",G141))</x:f>
        <x:v>[9기가01-02]</x:v>
      </x:c>
      <x:c r="C141" s="5" t="str">
        <x:f>MID(G141,SEARCH("]",G141)+1,200)</x:f>
        <x:v>의생활,식생활이 청소년기 성장과 건강에 미치는 영향을 탐색하고 성장과 건강을 위해 바람직한 의생활과 식생활의 실천 방안을 탐색하여 이를 실천한다.</x:v>
      </x:c>
      <x:c r="D141" s="3"/>
      <x:c r="E141" s="3"/>
      <x:c r="F141" s="3"/>
      <x:c r="G141" s="3" t="s">
        <x:v>1771</x:v>
      </x:c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</x:row>
    <x:row r="142" spans="1:23" ht="32.75">
      <x:c r="A142" t="s">
        <x:v>725</x:v>
      </x:c>
      <x:c r="B142" s="6" t="str">
        <x:f>LEFT(G142,SEARCH("]",G142))</x:f>
        <x:v>[9기가01-03]</x:v>
      </x:c>
      <x:c r="C142" s="5" t="str">
        <x:f>MID(G142,SEARCH("]",G142)+1,200)</x:f>
        <x:v>건강과 성장을 위한 청소년기 영양의 중요성을 이해하여 자신의 식생활을 평가하고,식생활 문제를 개선하여 건강한 식생활을 실천한다.</x:v>
      </x:c>
      <x:c r="D142" s="3"/>
      <x:c r="E142" s="3"/>
      <x:c r="F142" s="3"/>
      <x:c r="G142" s="3" t="s">
        <x:v>1632</x:v>
      </x:c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</x:row>
    <x:row r="143" spans="1:23">
      <x:c r="A143" t="s">
        <x:v>725</x:v>
      </x:c>
      <x:c r="B143" s="6" t="str">
        <x:f>LEFT(G143,SEARCH("]",G143))</x:f>
        <x:v>[9기가01-04]</x:v>
      </x:c>
      <x:c r="C143" s="5" t="str">
        <x:f>MID(G143,SEARCH("]",G143)+1,200)</x:f>
        <x:v>의복디자인 요소를 고려한 자기이미지에 맞는 옷차림으로 자신을 긍정적으로 표현한다.</x:v>
      </x:c>
      <x:c r="D143" s="3"/>
      <x:c r="E143" s="3"/>
      <x:c r="F143" s="3"/>
      <x:c r="G143" s="3" t="s">
        <x:v>1916</x:v>
      </x:c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</x:row>
    <x:row r="144" spans="1:23" ht="32.75">
      <x:c r="A144" t="s">
        <x:v>725</x:v>
      </x:c>
      <x:c r="B144" s="6" t="str">
        <x:f>LEFT(G144,SEARCH("]",G144))</x:f>
        <x:v>[9기가01-05]</x:v>
      </x:c>
      <x:c r="C144" s="5" t="str">
        <x:f>MID(G144,SEARCH("]",G144)+1,200)</x:f>
        <x:v>청소년기의 건강한 발달을 위협하는 스트레스,분노,우울 등의 여러 가지 행동 및 심리문제의 원인을 분석하고,적응 유연성을 기를 수 있는 다양한 예방 및 해결방안을 탐색하여 적용한다.</x:v>
      </x:c>
      <x:c r="D144" s="3"/>
      <x:c r="E144" s="3"/>
      <x:c r="F144" s="3"/>
      <x:c r="G144" s="3" t="s">
        <x:v>58</x:v>
      </x:c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</x:row>
    <x:row r="145" spans="1:23" ht="32.75">
      <x:c r="A145" t="s">
        <x:v>725</x:v>
      </x:c>
      <x:c r="B145" s="6" t="str">
        <x:f>LEFT(G145,SEARCH("]",G145))</x:f>
        <x:v>[9기가01-06]</x:v>
      </x:c>
      <x:c r="C145" s="5" t="str">
        <x:f>MID(G145,SEARCH("]",G145)+1,200)</x:f>
        <x:v>사회변화로 증가하는 여러 가지 청소년 중독의 유형을 탐색하여 이를 예방하고 대응할 수 있는 방안을 제안한다.</x:v>
      </x:c>
      <x:c r="D145" s="3"/>
      <x:c r="E145" s="3"/>
      <x:c r="F145" s="3"/>
      <x:c r="G145" s="3" t="s">
        <x:v>347</x:v>
      </x:c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</x:row>
    <x:row r="146" spans="1:23" ht="32.75">
      <x:c r="A146" t="s">
        <x:v>725</x:v>
      </x:c>
      <x:c r="B146" s="6" t="str">
        <x:f>LEFT(G146,SEARCH("]",G146))</x:f>
        <x:v>[9기가01-07]</x:v>
      </x:c>
      <x:c r="C146" s="5" t="str">
        <x:f>MID(G146,SEARCH("]",G146)+1,200)</x:f>
        <x:v>자기 이해를 기반으로 전 생애적 관점에서 진로 설계의 중요성을 인식하고,자기 적성에맞는 진로를 설계한다.</x:v>
      </x:c>
      <x:c r="D146" s="3"/>
      <x:c r="E146" s="3"/>
      <x:c r="F146" s="3"/>
      <x:c r="G146" s="3" t="s">
        <x:v>1932</x:v>
      </x:c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</x:row>
    <x:row r="147" spans="1:23" ht="32.75">
      <x:c r="A147" t="s">
        <x:v>725</x:v>
      </x:c>
      <x:c r="B147" s="6" t="str">
        <x:f>LEFT(G147,SEARCH("]",G147))</x:f>
        <x:v>[9기가01-08]</x:v>
      </x:c>
      <x:c r="C147" s="5" t="str">
        <x:f>MID(G147,SEARCH("]",G147)+1,200)</x:f>
        <x:v>성적 자기 결정권의 중요성을 이해하고,성인지 감수성과 건강한 성 가치관을 함양하여상호 존중의 관계를 실천할 수 있는 방안을 탐색한다.</x:v>
      </x:c>
      <x:c r="D147" s="3"/>
      <x:c r="E147" s="3"/>
      <x:c r="F147" s="3"/>
      <x:c r="G147" s="3" t="s">
        <x:v>288</x:v>
      </x:c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</x:row>
    <x:row r="148" spans="1:23" ht="32.75">
      <x:c r="A148" t="s">
        <x:v>725</x:v>
      </x:c>
      <x:c r="B148" s="6" t="str">
        <x:f>LEFT(G148,SEARCH("]",G148))</x:f>
        <x:v>[9기가01-09]</x:v>
      </x:c>
      <x:c r="C148" s="5" t="str">
        <x:f>MID(G148,SEARCH("]",G148)+1,200)</x:f>
        <x:v>일상생활 및 가상공간에서 만나는 또래와 건강한 관계를 형성하고,다양한 주변인들과 친밀한 세대 간 관계를 형성하는 방안을 탐색하여 실천한다.</x:v>
      </x:c>
      <x:c r="D148" s="3"/>
      <x:c r="E148" s="3"/>
      <x:c r="F148" s="3"/>
      <x:c r="G148" s="3" t="s">
        <x:v>290</x:v>
      </x:c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</x:row>
    <x:row r="149" spans="1:23" ht="32.75">
      <x:c r="A149" t="s">
        <x:v>725</x:v>
      </x:c>
      <x:c r="B149" s="6" t="str">
        <x:f>LEFT(G149,SEARCH("]",G149))</x:f>
        <x:v>[9기가01-10]</x:v>
      </x:c>
      <x:c r="C149" s="5" t="str">
        <x:f>MID(G149,SEARCH("]",G149)+1,200)</x:f>
        <x:v>다양한 현대 가족에 내재된 가족생활의 보편성과 고유한 가치를 존중하는 동시에 가족에대한 유연한 태도를 길러,뉴노멀 사회에서의 새로운 가족문화를 탐색한다.</x:v>
      </x:c>
      <x:c r="D149" s="3"/>
      <x:c r="E149" s="3"/>
      <x:c r="F149" s="3"/>
      <x:c r="G149" s="3" t="s">
        <x:v>573</x:v>
      </x:c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</x:row>
    <x:row r="150" spans="1:23" ht="32.75">
      <x:c r="A150" t="s">
        <x:v>725</x:v>
      </x:c>
      <x:c r="B150" s="6" t="str">
        <x:f>LEFT(G150,SEARCH("]",G150))</x:f>
        <x:v>[9기가01-11]</x:v>
      </x:c>
      <x:c r="C150" s="5" t="str">
        <x:f>MID(G150,SEARCH("]",G150)+1,200)</x:f>
        <x:v>대인 관계에서 발생하는 갈등의 원인과 배경을 분석하고,효과적인 의사소통을 통해갈등을 해결하는 방안을 탐색하여 이를 적용한다.</x:v>
      </x:c>
      <x:c r="D150" s="3"/>
      <x:c r="E150" s="3"/>
      <x:c r="F150" s="3"/>
      <x:c r="G150" s="3" t="s">
        <x:v>1907</x:v>
      </x:c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</x:row>
    <x:row r="151" spans="1:23" ht="32.75">
      <x:c r="A151" t="s">
        <x:v>725</x:v>
      </x:c>
      <x:c r="B151" s="6" t="str">
        <x:f>LEFT(G151,SEARCH("]",G151))</x:f>
        <x:v>[9기가01-12]</x:v>
      </x:c>
      <x:c r="C151" s="5" t="str">
        <x:f>MID(G151,SEARCH("]",G151)+1,200)</x:f>
        <x:v>성폭력과 가정폭력의 사회⋅구조적인 원인과 영향을 분석하고,다양한 문제 상황을 중심으로 이를 대처하고 지원하는 방안을 탐색한다.</x:v>
      </x:c>
      <x:c r="D151" s="3"/>
      <x:c r="E151" s="3"/>
      <x:c r="F151" s="3"/>
      <x:c r="G151" s="3" t="s">
        <x:v>1618</x:v>
      </x:c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</x:row>
    <x:row r="152" spans="1:23">
      <x:c r="A152" t="s">
        <x:v>725</x:v>
      </x:c>
      <x:c r="B152" s="6" t="str">
        <x:f>LEFT(G152,SEARCH("]",G152))</x:f>
        <x:v>[9기가02-01]</x:v>
      </x:c>
      <x:c r="C152" s="5" t="str">
        <x:f>MID(G152,SEARCH("]",G152)+1,200)</x:f>
        <x:v>생활자원의 종류와 특성 및 순환과정을 이해하고,의식주 자원관리의 중요성을 인식한다.</x:v>
      </x:c>
      <x:c r="D152" s="3"/>
      <x:c r="E152" s="3"/>
      <x:c r="F152" s="3"/>
      <x:c r="G152" s="3" t="s">
        <x:v>116</x:v>
      </x:c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</x:row>
    <x:row r="153" spans="1:23">
      <x:c r="A153" t="s">
        <x:v>725</x:v>
      </x:c>
      <x:c r="B153" s="6" t="str">
        <x:f>LEFT(G153,SEARCH("]",G153))</x:f>
        <x:v>[9기가02-02]</x:v>
      </x:c>
      <x:c r="C153" s="5" t="str">
        <x:f>MID(G153,SEARCH("]",G153)+1,200)</x:f>
        <x:v>한국인 영양소 섭취기준과 식사구성안을 바탕으로 균형 잡힌 식사를 계획한다.</x:v>
      </x:c>
      <x:c r="D153" s="3"/>
      <x:c r="E153" s="3"/>
      <x:c r="F153" s="3"/>
      <x:c r="G153" s="3" t="s">
        <x:v>1880</x:v>
      </x:c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</x:row>
    <x:row r="154" spans="1:23">
      <x:c r="A154" t="s">
        <x:v>725</x:v>
      </x:c>
      <x:c r="B154" s="6" t="str">
        <x:f>LEFT(G154,SEARCH("]",G154))</x:f>
        <x:v>[9기가02-03]</x:v>
      </x:c>
      <x:c r="C154" s="5" t="str">
        <x:f>MID(G154,SEARCH("]",G154)+1,200)</x:f>
        <x:v>건강과 환경을 고려한 식품의 선택,관리,보관 방법을 탐색하여 실생활에 적용한다.</x:v>
      </x:c>
      <x:c r="D154" s="3"/>
      <x:c r="E154" s="3"/>
      <x:c r="F154" s="3"/>
      <x:c r="G154" s="3" t="s">
        <x:v>1919</x:v>
      </x:c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</x:row>
    <x:row r="155" spans="1:23">
      <x:c r="A155" t="s">
        <x:v>725</x:v>
      </x:c>
      <x:c r="B155" s="6" t="str">
        <x:f>LEFT(G155,SEARCH("]",G155))</x:f>
        <x:v>[9기가02-04]</x:v>
      </x:c>
      <x:c r="C155" s="5" t="str">
        <x:f>MID(G155,SEARCH("]",G155)+1,200)</x:f>
        <x:v>개인과 가족의 영양 요구와 지속가능성을 충족하는 식사를 계획하고 조리한다.</x:v>
      </x:c>
      <x:c r="D155" s="3"/>
      <x:c r="E155" s="3"/>
      <x:c r="F155" s="3"/>
      <x:c r="G155" s="3" t="s">
        <x:v>1886</x:v>
      </x:c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</x:row>
    <x:row r="156" spans="1:23" ht="32.75">
      <x:c r="A156" t="s">
        <x:v>725</x:v>
      </x:c>
      <x:c r="B156" s="6" t="str">
        <x:f>LEFT(G156,SEARCH("]",G156))</x:f>
        <x:v>[9기가02-05]</x:v>
      </x:c>
      <x:c r="C156" s="5" t="str">
        <x:f>MID(G156,SEARCH("]",G156)+1,200)</x:f>
        <x:v>의복 재료의 특성을 이해하고 건강과 환경을 고려한 의복의 세탁과 관리 방안을 탐색하여 실천한다.</x:v>
      </x:c>
      <x:c r="D156" s="3"/>
      <x:c r="E156" s="3"/>
      <x:c r="F156" s="3"/>
      <x:c r="G156" s="3" t="s">
        <x:v>3</x:v>
      </x:c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</x:row>
    <x:row r="157" spans="1:23" ht="32.75">
      <x:c r="A157" t="s">
        <x:v>725</x:v>
      </x:c>
      <x:c r="B157" s="6" t="str">
        <x:f>LEFT(G157,SEARCH("]",G157))</x:f>
        <x:v>[9기가02-06]</x:v>
      </x:c>
      <x:c r="C157" s="5" t="str">
        <x:f>MID(G157,SEARCH("]",G157)+1,200)</x:f>
        <x:v>지속가능성을 고려하여 의복 마련 계획을 세우고,이를 창의적이고 친환경적인 의생활에적용한다.</x:v>
      </x:c>
      <x:c r="D157" s="3"/>
      <x:c r="E157" s="3"/>
      <x:c r="F157" s="3"/>
      <x:c r="G157" s="3" t="s">
        <x:v>10</x:v>
      </x:c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</x:row>
    <x:row r="158" spans="1:23" ht="32.75">
      <x:c r="A158" t="s">
        <x:v>725</x:v>
      </x:c>
      <x:c r="B158" s="6" t="str">
        <x:f>LEFT(G158,SEARCH("]",G158))</x:f>
        <x:v>[9기가02-07]</x:v>
      </x:c>
      <x:c r="C158" s="5" t="str">
        <x:f>MID(G158,SEARCH("]",G158)+1,200)</x:f>
        <x:v>주거의 의미와 가치가 변화함에 따라 나타나는 다양한 생활 양식을 탐색하고,더불어 살아가는 주거 문화를 실천한다.</x:v>
      </x:c>
      <x:c r="D158" s="3"/>
      <x:c r="E158" s="3"/>
      <x:c r="F158" s="3"/>
      <x:c r="G158" s="3" t="s">
        <x:v>1637</x:v>
      </x:c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</x:row>
    <x:row r="159" spans="1:23" ht="32.75">
      <x:c r="A159" t="s">
        <x:v>725</x:v>
      </x:c>
      <x:c r="B159" s="6" t="str">
        <x:f>LEFT(G159,SEARCH("]",G159))</x:f>
        <x:v>[9기가02-08]</x:v>
      </x:c>
      <x:c r="C159" s="5" t="str">
        <x:f>MID(G159,SEARCH("]",G159)+1,200)</x:f>
        <x:v>생활공간으로서 주거환경의 조건을 분석하고,쾌적하고 안전한 주거 관리 방안을 탐색하여 실생활에 적용한다.</x:v>
      </x:c>
      <x:c r="D159" s="3"/>
      <x:c r="E159" s="3"/>
      <x:c r="F159" s="3"/>
      <x:c r="G159" s="3" t="s">
        <x:v>527</x:v>
      </x:c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</x:row>
    <x:row r="160" spans="1:23">
      <x:c r="A160" t="s">
        <x:v>725</x:v>
      </x:c>
      <x:c r="B160" s="6" t="str">
        <x:f>LEFT(G160,SEARCH("]",G160))</x:f>
        <x:v>[9기가02-09]</x:v>
      </x:c>
      <x:c r="C160" s="5" t="str">
        <x:f>MID(G160,SEARCH("]",G160)+1,200)</x:f>
        <x:v>효율적인 주거 공간 구성 방안을 탐색하여 자신의 생활에 적합한 주거 공간 구성에 활용한다.</x:v>
      </x:c>
      <x:c r="D160" s="3"/>
      <x:c r="E160" s="3"/>
      <x:c r="F160" s="3"/>
      <x:c r="G160" s="3" t="s">
        <x:v>323</x:v>
      </x:c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</x:row>
    <x:row r="161" spans="1:23" ht="32.75">
      <x:c r="A161" t="s">
        <x:v>725</x:v>
      </x:c>
      <x:c r="B161" s="6" t="str">
        <x:f>LEFT(G161,SEARCH("]",G161))</x:f>
        <x:v>[9기가02-10]</x:v>
      </x:c>
      <x:c r="C161" s="5" t="str">
        <x:f>MID(G161,SEARCH("]",G161)+1,200)</x:f>
        <x:v>의식주 생활자원의 생산과 폐기과정을 탐색하고,일상생활에서 의식주 생활자원을선택한 과정과 그 결과를 성찰한다.</x:v>
      </x:c>
      <x:c r="D161" s="3"/>
      <x:c r="E161" s="3"/>
      <x:c r="F161" s="3"/>
      <x:c r="G161" s="3" t="s">
        <x:v>1952</x:v>
      </x:c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</x:row>
    <x:row r="162" spans="1:23" ht="32.75">
      <x:c r="A162" t="s">
        <x:v>725</x:v>
      </x:c>
      <x:c r="B162" s="6" t="str">
        <x:f>LEFT(G162,SEARCH("]",G162))</x:f>
        <x:v>[9기가02-11]</x:v>
      </x:c>
      <x:c r="C162" s="5" t="str">
        <x:f>MID(G162,SEARCH("]",G162)+1,200)</x:f>
        <x:v>급변하는 소비환경의 변화를 이해하고,다양한 소비자 정보를 비판적으로 분석하여자신의 소비생활에 활용한다.</x:v>
      </x:c>
      <x:c r="D162" s="3"/>
      <x:c r="E162" s="3"/>
      <x:c r="F162" s="3"/>
      <x:c r="G162" s="3" t="s">
        <x:v>529</x:v>
      </x:c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</x:row>
    <x:row r="163" spans="1:23" ht="32.75">
      <x:c r="A163" t="s">
        <x:v>725</x:v>
      </x:c>
      <x:c r="B163" s="6" t="str">
        <x:f>LEFT(G163,SEARCH("]",G163))</x:f>
        <x:v>[9기가02-12]</x:v>
      </x:c>
      <x:c r="C163" s="5" t="str">
        <x:f>MID(G163,SEARCH("]",G163)+1,200)</x:f>
        <x:v>청소년 소비자의 특성을 이해하고 소비자 의사 결정 과정을 통한 합리적인 소비생활을 실천한다.</x:v>
      </x:c>
      <x:c r="D163" s="3"/>
      <x:c r="E163" s="3"/>
      <x:c r="F163" s="3"/>
      <x:c r="G163" s="3" t="s">
        <x:v>69</x:v>
      </x:c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</x:row>
    <x:row r="164" spans="1:23" ht="32.75">
      <x:c r="A164" t="s">
        <x:v>725</x:v>
      </x:c>
      <x:c r="B164" s="6" t="str">
        <x:f>LEFT(G164,SEARCH("]",G164))</x:f>
        <x:v>[9기가02-13]</x:v>
      </x:c>
      <x:c r="C164" s="5" t="str">
        <x:f>MID(G164,SEARCH("]",G164)+1,200)</x:f>
        <x:v>책임 있는 소비자로서 소비자의 권리와 역할을 인식하고,소비생활에서 발생하는 소비자문제와 해결 방안을 탐색하여 소비생활에 적용한다.</x:v>
      </x:c>
      <x:c r="D164" s="3"/>
      <x:c r="E164" s="3"/>
      <x:c r="F164" s="3"/>
      <x:c r="G164" s="3" t="s">
        <x:v>1628</x:v>
      </x:c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</x:row>
    <x:row r="165" spans="1:23" ht="32.75">
      <x:c r="A165" t="s">
        <x:v>725</x:v>
      </x:c>
      <x:c r="B165" s="6" t="str">
        <x:f>LEFT(G165,SEARCH("]",G165))</x:f>
        <x:v>[9기가02-14]</x:v>
      </x:c>
      <x:c r="C165" s="5" t="str">
        <x:f>MID(G165,SEARCH("]",G165)+1,200)</x:f>
        <x:v>디지털 생활환경으로 나타난 일상생활의 혁신과 변화를 비판적으로 분석한 결과를삶의 질 향상에 활용할 수 있는 방안을 탐색하여 제안한다.</x:v>
      </x:c>
      <x:c r="D165" s="3"/>
      <x:c r="E165" s="3"/>
      <x:c r="F165" s="3"/>
      <x:c r="G165" s="3" t="s">
        <x:v>287</x:v>
      </x:c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</x:row>
    <x:row r="166" spans="1:23" ht="32.75">
      <x:c r="A166" t="s">
        <x:v>725</x:v>
      </x:c>
      <x:c r="B166" s="6" t="str">
        <x:f>LEFT(G166,SEARCH("]",G166))</x:f>
        <x:v>[9기가03-01]</x:v>
      </x:c>
      <x:c r="C166" s="5" t="str">
        <x:f>MID(G166,SEARCH("]",G166)+1,200)</x:f>
        <x:v>기술의 의미와 특성을 이해하고 기술의 발달에 따른 사회의 변화를 파악하며,미래의 기술과 사회의 변화를 평가하고 예측함으로써 기술에 대한 가치를 인식한다.</x:v>
      </x:c>
      <x:c r="D166" s="3"/>
      <x:c r="E166" s="3"/>
      <x:c r="F166" s="3"/>
      <x:c r="G166" s="3" t="s">
        <x:v>583</x:v>
      </x:c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</x:row>
    <x:row r="167" spans="1:23" ht="32.75">
      <x:c r="A167" t="s">
        <x:v>725</x:v>
      </x:c>
      <x:c r="B167" s="6" t="str">
        <x:f>LEFT(G167,SEARCH("]",G167))</x:f>
        <x:v>[9기가03-02]</x:v>
      </x:c>
      <x:c r="C167" s="5" t="str">
        <x:f>MID(G167,SEARCH("]",G167)+1,200)</x:f>
        <x:v>기술의 표준화,적정 기술과 같은 기술 활용 사례를 탐구하고,기술이 사회에 미치는 영향을 바르게 인식하여 기술 혁신과 사회 발전에 참여하는 태도를 갖는다.</x:v>
      </x:c>
      <x:c r="D167" s="3"/>
      <x:c r="E167" s="3"/>
      <x:c r="F167" s="3"/>
      <x:c r="G167" s="3" t="s">
        <x:v>570</x:v>
      </x:c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</x:row>
    <x:row r="168" spans="1:23" ht="32.75">
      <x:c r="A168" t="s">
        <x:v>725</x:v>
      </x:c>
      <x:c r="B168" s="6" t="str">
        <x:f>LEFT(G168,SEARCH("]",G168))</x:f>
        <x:v>[9기가03-03]</x:v>
      </x:c>
      <x:c r="C168" s="5" t="str">
        <x:f>MID(G168,SEARCH("]",G168)+1,200)</x:f>
        <x:v>기술적 문제 해결 과정의 이해를 바탕으로 문제를 확인하고,정보를 수집하며,확산적사고와 수렴적 사고를 통해 해결방안을 탐색하고 대안을 선정한다.</x:v>
      </x:c>
      <x:c r="D168" s="3"/>
      <x:c r="E168" s="3"/>
      <x:c r="F168" s="3"/>
      <x:c r="G168" s="3" t="s">
        <x:v>1759</x:v>
      </x:c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</x:row>
    <x:row r="169" spans="1:23" ht="32.75">
      <x:c r="A169" t="s">
        <x:v>725</x:v>
      </x:c>
      <x:c r="B169" s="6" t="str">
        <x:f>LEFT(G169,SEARCH("]",G169))</x:f>
        <x:v>[9기가03-04]</x:v>
      </x:c>
      <x:c r="C169" s="5" t="str">
        <x:f>MID(G169,SEARCH("]",G169)+1,200)</x:f>
        <x:v>기술적 문제 해결 방안을 시각화하고 도면을 작성하며,올바른 도구를 선택하여 시제품또는 모형을 제작 및 평가하는 과정에서 협업 능력,공감 능력과 의사소통 능력을 기른다.</x:v>
      </x:c>
      <x:c r="D169" s="3"/>
      <x:c r="E169" s="3"/>
      <x:c r="F169" s="3"/>
      <x:c r="G169" s="3" t="s">
        <x:v>754</x:v>
      </x:c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</x:row>
    <x:row r="170" spans="1:23" ht="32.75">
      <x:c r="A170" t="s">
        <x:v>725</x:v>
      </x:c>
      <x:c r="B170" s="6" t="str">
        <x:f>LEFT(G170,SEARCH("]",G170))</x:f>
        <x:v>[9기가03-05]</x:v>
      </x:c>
      <x:c r="C170" s="5" t="str">
        <x:f>MID(G170,SEARCH("]",G170)+1,200)</x:f>
        <x:v>발명의 개념을 이해하고,발명 문제 해결 과정을 바탕으로 발명 활동을 체험하여 창조에대한 자신감을 갖고 발명이 사회에 미친 영향과 가치를 인식한다.</x:v>
      </x:c>
      <x:c r="D170" s="3"/>
      <x:c r="E170" s="3"/>
      <x:c r="F170" s="3"/>
      <x:c r="G170" s="3" t="s">
        <x:v>1761</x:v>
      </x:c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</x:row>
    <x:row r="171" spans="1:23" ht="32.75">
      <x:c r="A171" t="s">
        <x:v>725</x:v>
      </x:c>
      <x:c r="B171" s="6" t="str">
        <x:f>LEFT(G171,SEARCH("]",G171))</x:f>
        <x:v>[9기가03-06]</x:v>
      </x:c>
      <x:c r="C171" s="5" t="str">
        <x:f>MID(G171,SEARCH("]",G171)+1,200)</x:f>
        <x:v>지식재산권의 종류와 특징을 이해하고,지식재산과 관련한 다양한 사례 조사 및 체험을통해 지식재산권의 창출,보호,활용을 이해하고 실천한다.</x:v>
      </x:c>
      <x:c r="D171" s="3"/>
      <x:c r="E171" s="3"/>
      <x:c r="F171" s="3"/>
      <x:c r="G171" s="3" t="s">
        <x:v>678</x:v>
      </x:c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</x:row>
    <x:row r="172" spans="1:23">
      <x:c r="A172" t="s">
        <x:v>725</x:v>
      </x:c>
      <x:c r="B172" s="6" t="str">
        <x:f>LEFT(G172,SEARCH("]",G172))</x:f>
        <x:v>[9기가03-07]</x:v>
      </x:c>
      <x:c r="C172" s="5" t="str">
        <x:f>MID(G172,SEARCH("]",G172)+1,200)</x:f>
        <x:v>재료의 종류와 특성을 이해하며,목적에 맞는 재료를 선택하고,안전한 가공 방법을 실천한다.</x:v>
      </x:c>
      <x:c r="D172" s="3"/>
      <x:c r="E172" s="3"/>
      <x:c r="F172" s="3"/>
      <x:c r="G172" s="3" t="s">
        <x:v>119</x:v>
      </x:c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</x:row>
    <x:row r="173" spans="1:23">
      <x:c r="A173" t="s">
        <x:v>725</x:v>
      </x:c>
      <x:c r="B173" s="6" t="str">
        <x:f>LEFT(G173,SEARCH("]",G173))</x:f>
        <x:v>[9기가03-08]</x:v>
      </x:c>
      <x:c r="C173" s="5" t="str">
        <x:f>MID(G173,SEARCH("]",G173)+1,200)</x:f>
        <x:v>설계의 가치와 필요성을 인식하고,제도의 기본 통칙에 따라 도면을 작성한다.</x:v>
      </x:c>
      <x:c r="D173" s="3"/>
      <x:c r="E173" s="3"/>
      <x:c r="F173" s="3"/>
      <x:c r="G173" s="3" t="s">
        <x:v>1872</x:v>
      </x:c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</x:row>
    <x:row r="174" spans="1:23">
      <x:c r="A174" t="s">
        <x:v>725</x:v>
      </x:c>
      <x:c r="B174" s="6" t="str">
        <x:f>LEFT(G174,SEARCH("]",G174))</x:f>
        <x:v>[9기가03-09]</x:v>
      </x:c>
      <x:c r="C174" s="5" t="str">
        <x:f>MID(G174,SEARCH("]",G174)+1,200)</x:f>
        <x:v>제품의 제작 순서를 이해하고 올바른 도구를 선택하여 제품을 안전하게 제작하고 평가한다.</x:v>
      </x:c>
      <x:c r="D174" s="3"/>
      <x:c r="E174" s="3"/>
      <x:c r="F174" s="3"/>
      <x:c r="G174" s="3" t="s">
        <x:v>124</x:v>
      </x:c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</x:row>
    <x:row r="175" spans="1:23" ht="32.75">
      <x:c r="A175" t="s">
        <x:v>725</x:v>
      </x:c>
      <x:c r="B175" s="6" t="str">
        <x:f>LEFT(G175,SEARCH("]",G175))</x:f>
        <x:v>[9기가03-10]</x:v>
      </x:c>
      <x:c r="C175" s="5" t="str">
        <x:f>MID(G175,SEARCH("]",G175)+1,200)</x:f>
        <x:v>친환경 에너지 자원의 특성을 이해하고,종류와 활용 사례를 조사하여 친환경 에너지 개발의 중요성을 인식한다.</x:v>
      </x:c>
      <x:c r="D175" s="3"/>
      <x:c r="E175" s="3"/>
      <x:c r="F175" s="3"/>
      <x:c r="G175" s="3" t="s">
        <x:v>1942</x:v>
      </x:c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</x:row>
    <x:row r="176" spans="1:23">
      <x:c r="A176" t="s">
        <x:v>725</x:v>
      </x:c>
      <x:c r="B176" s="6" t="str">
        <x:f>LEFT(G176,SEARCH("]",G176))</x:f>
        <x:v>[9기가03-11]</x:v>
      </x:c>
      <x:c r="C176" s="5" t="str">
        <x:f>MID(G176,SEARCH("]",G176)+1,200)</x:f>
        <x:v>에너지와 관련된 문제를 발견하고 창의적인 해결방안을 탐색하여 실현하고 평가한다.</x:v>
      </x:c>
      <x:c r="D176" s="3"/>
      <x:c r="E176" s="3"/>
      <x:c r="F176" s="3"/>
      <x:c r="G176" s="3" t="s">
        <x:v>1927</x:v>
      </x:c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</x:row>
    <x:row r="177" spans="1:23" ht="32.75">
      <x:c r="A177" t="s">
        <x:v>725</x:v>
      </x:c>
      <x:c r="B177" s="6" t="str">
        <x:f>LEFT(G177,SEARCH("]",G177))</x:f>
        <x:v>[9기가03-12]</x:v>
      </x:c>
      <x:c r="C177" s="5" t="str">
        <x:f>MID(G177,SEARCH("]",G177)+1,200)</x:f>
        <x:v>다양한 수송 수단과 물류 체제를 이해하고 발달과정 및 특징과 혁신적인 활용 사례를 조사하여 수송 분야의 발달을 전망한다.</x:v>
      </x:c>
      <x:c r="D177" s="3"/>
      <x:c r="E177" s="3"/>
      <x:c r="F177" s="3"/>
      <x:c r="G177" s="3" t="s">
        <x:v>1893</x:v>
      </x:c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</x:row>
    <x:row r="178" spans="1:23">
      <x:c r="A178" t="s">
        <x:v>725</x:v>
      </x:c>
      <x:c r="B178" s="6" t="str">
        <x:f>LEFT(G178,SEARCH("]",G178))</x:f>
        <x:v>[9기가03-13]</x:v>
      </x:c>
      <x:c r="C178" s="5" t="str">
        <x:f>MID(G178,SEARCH("]",G178)+1,200)</x:f>
        <x:v>수송 수단 및 물류 체제와 관련된 문제를 이해하고 해결방안을 탐색하여 실현하고 평가한다.</x:v>
      </x:c>
      <x:c r="D178" s="3"/>
      <x:c r="E178" s="3"/>
      <x:c r="F178" s="3"/>
      <x:c r="G178" s="3" t="s">
        <x:v>88</x:v>
      </x:c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</x:row>
    <x:row r="179" spans="1:23" ht="32.75">
      <x:c r="A179" t="s">
        <x:v>725</x:v>
      </x:c>
      <x:c r="B179" s="6" t="str">
        <x:f>LEFT(G179,SEARCH("]",G179))</x:f>
        <x:v>[9기가04-01]</x:v>
      </x:c>
      <x:c r="C179" s="5" t="str">
        <x:f>MID(G179,SEARCH("]",G179)+1,200)</x:f>
        <x:v>건설기술의 개념 및 발달과정,건설 구조물의 종류와 특성을 이해하고,건설 구조물의 혁신사례를 탐구함으로써 건설기술의 중요성을 인식한다.</x:v>
      </x:c>
      <x:c r="D179" s="3"/>
      <x:c r="E179" s="3"/>
      <x:c r="F179" s="3"/>
      <x:c r="G179" s="3" t="s">
        <x:v>679</x:v>
      </x:c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</x:row>
    <x:row r="180" spans="1:23" ht="32.75">
      <x:c r="A180" t="s">
        <x:v>725</x:v>
      </x:c>
      <x:c r="B180" s="6" t="str">
        <x:f>LEFT(G180,SEARCH("]",G180))</x:f>
        <x:v>[9기가04-02]</x:v>
      </x:c>
      <x:c r="C180" s="5" t="str">
        <x:f>MID(G180,SEARCH("]",G180)+1,200)</x:f>
        <x:v>건설 구조물의 종류에 따른 계획,설계,시공,유지관리 방법을 탐구하고 건설과정의 중요성을 이해하며 건설 구조물의 가치를 인식한다.</x:v>
      </x:c>
      <x:c r="D180" s="3"/>
      <x:c r="E180" s="3"/>
      <x:c r="F180" s="3"/>
      <x:c r="G180" s="3" t="s">
        <x:v>1633</x:v>
      </x:c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</x:row>
    <x:row r="181" spans="1:23" ht="32.75">
      <x:c r="A181" t="s">
        <x:v>725</x:v>
      </x:c>
      <x:c r="B181" s="6" t="str">
        <x:f>LEFT(G181,SEARCH("]",G181))</x:f>
        <x:v>[9기가04-03]</x:v>
      </x:c>
      <x:c r="C181" s="5" t="str">
        <x:f>MID(G181,SEARCH("]",G181)+1,200)</x:f>
        <x:v>사용자 요구 및 주어진 환경과 조건을 충족하는 지속가능한 건설 구조물의 모형을설계⋅제작 및 평가한다.</x:v>
      </x:c>
      <x:c r="D181" s="3"/>
      <x:c r="E181" s="3"/>
      <x:c r="F181" s="3"/>
      <x:c r="G181" s="3" t="s">
        <x:v>542</x:v>
      </x:c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</x:row>
    <x:row r="182" spans="1:23" ht="32.75">
      <x:c r="A182" t="s">
        <x:v>725</x:v>
      </x:c>
      <x:c r="B182" s="6" t="str">
        <x:f>LEFT(G182,SEARCH("]",G182))</x:f>
        <x:v>[9기가04-04]</x:v>
      </x:c>
      <x:c r="C182" s="5" t="str">
        <x:f>MID(G182,SEARCH("]",G182)+1,200)</x:f>
        <x:v>전기⋅전자 부품의 종류와 기능을 이해하고 기능에 맞는 부품을 선택하여 문제를해결하기 위한 간단한 회로를 구성하고 제작 및 평가한다.</x:v>
      </x:c>
      <x:c r="D182" s="3"/>
      <x:c r="E182" s="3"/>
      <x:c r="F182" s="3"/>
      <x:c r="G182" s="3" t="s">
        <x:v>1626</x:v>
      </x:c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</x:row>
    <x:row r="183" spans="1:23" ht="32.75">
      <x:c r="A183" t="s">
        <x:v>725</x:v>
      </x:c>
      <x:c r="B183" s="6" t="str">
        <x:f>LEFT(G183,SEARCH("]",G183))</x:f>
        <x:v>[9기가04-05]</x:v>
      </x:c>
      <x:c r="C183" s="5" t="str">
        <x:f>MID(G183,SEARCH("]",G183)+1,200)</x:f>
        <x:v>정보통신과 인공지능 기술의 활용 사례를 탐구하고,정보통신과 인공지능 기술이우리 삶에 미치는 영향을 다양한 관점에서 평가한다.</x:v>
      </x:c>
      <x:c r="D183" s="3"/>
      <x:c r="E183" s="3"/>
      <x:c r="F183" s="3"/>
      <x:c r="G183" s="3" t="s">
        <x:v>1902</x:v>
      </x:c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</x:row>
    <x:row r="184" spans="1:23" ht="32.75">
      <x:c r="A184" t="s">
        <x:v>725</x:v>
      </x:c>
      <x:c r="B184" s="6" t="str">
        <x:f>LEFT(G184,SEARCH("]",G184))</x:f>
        <x:v>[9기가04-06]</x:v>
      </x:c>
      <x:c r="C184" s="5" t="str">
        <x:f>MID(G184,SEARCH("]",G184)+1,200)</x:f>
        <x:v>정보통신과 인공지능 기술 관련 문제를 이해하고 해결 방안을 탐색,실현,평가함으로써 긍정적인 문제 해결 태도를 갖는다.</x:v>
      </x:c>
      <x:c r="D184" s="3"/>
      <x:c r="E184" s="3"/>
      <x:c r="F184" s="3"/>
      <x:c r="G184" s="3" t="s">
        <x:v>1758</x:v>
      </x:c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</x:row>
    <x:row r="185" spans="1:23" ht="32.75">
      <x:c r="A185" t="s">
        <x:v>725</x:v>
      </x:c>
      <x:c r="B185" s="6" t="str">
        <x:f>LEFT(G185,SEARCH("]",G185))</x:f>
        <x:v>[9기가04-07]</x:v>
      </x:c>
      <x:c r="C185" s="5" t="str">
        <x:f>MID(G185,SEARCH("]",G185)+1,200)</x:f>
        <x:v>기계의 구성 요소 및 동력 전달 장치의 종류와 특징을 이해하고,작동 원리에 맞는기계요소를 선택하여 평가한다.</x:v>
      </x:c>
      <x:c r="D185" s="3"/>
      <x:c r="E185" s="3"/>
      <x:c r="F185" s="3"/>
      <x:c r="G185" s="3" t="s">
        <x:v>1954</x:v>
      </x:c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</x:row>
    <x:row r="186" spans="1:23" ht="32.75">
      <x:c r="A186" t="s">
        <x:v>725</x:v>
      </x:c>
      <x:c r="B186" s="6" t="str">
        <x:f>LEFT(G186,SEARCH("]",G186))</x:f>
        <x:v>[9기가04-08]</x:v>
      </x:c>
      <x:c r="C186" s="5" t="str">
        <x:f>MID(G186,SEARCH("]",G186)+1,200)</x:f>
        <x:v>다양한 기계요소와 동력 전달 방법을 활용하여 주어진 문제를 해결할 수 있는 운동물체를 안전하게 제작하고 평가한다.</x:v>
      </x:c>
      <x:c r="D186" s="3"/>
      <x:c r="E186" s="3"/>
      <x:c r="F186" s="3"/>
      <x:c r="G186" s="3" t="s">
        <x:v>799</x:v>
      </x:c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</x:row>
    <x:row r="187" spans="1:23" ht="32.75">
      <x:c r="A187" t="s">
        <x:v>725</x:v>
      </x:c>
      <x:c r="B187" s="6" t="str">
        <x:f>LEFT(G187,SEARCH("]",G187))</x:f>
        <x:v>[9기가04-09]</x:v>
      </x:c>
      <x:c r="C187" s="5" t="str">
        <x:f>MID(G187,SEARCH("]",G187)+1,200)</x:f>
        <x:v>로봇에 활용되고 있는 제어 및 자동화 기술 등을 탐구하여 간단한 로봇을 제작하고평가함으로써 창조에 대한 자신감을 갖는다.</x:v>
      </x:c>
      <x:c r="D187" s="3"/>
      <x:c r="E187" s="3"/>
      <x:c r="F187" s="3"/>
      <x:c r="G187" s="3" t="s">
        <x:v>1903</x:v>
      </x:c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</x:row>
    <x:row r="188" spans="1:23" ht="32.75">
      <x:c r="A188" t="s">
        <x:v>725</x:v>
      </x:c>
      <x:c r="B188" s="6" t="str">
        <x:f>LEFT(G188,SEARCH("]",G188))</x:f>
        <x:v>[9기가04-10]</x:v>
      </x:c>
      <x:c r="C188" s="5" t="str">
        <x:f>MID(G188,SEARCH("]",G188)+1,200)</x:f>
        <x:v>인간의 건강과 생명 연장을 위해 의료 분야에서 활용되는 생명기술 사례를 조사하고,생명기술이 개인과 사회에 미친 영향을 평가한다.</x:v>
      </x:c>
      <x:c r="D188" s="3"/>
      <x:c r="E188" s="3"/>
      <x:c r="F188" s="3"/>
      <x:c r="G188" s="3" t="s">
        <x:v>1629</x:v>
      </x:c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</x:row>
    <x:row r="189" spans="1:23" ht="32.75">
      <x:c r="A189" t="s">
        <x:v>725</x:v>
      </x:c>
      <x:c r="B189" s="6" t="str">
        <x:f>LEFT(G189,SEARCH("]",G189))</x:f>
        <x:v>[9기가04-11]</x:v>
      </x:c>
      <x:c r="C189" s="5" t="str">
        <x:f>MID(G189,SEARCH("]",G189)+1,200)</x:f>
        <x:v>생명기술을 이해하며,이와 관련된 문제의 해결 방안을 탐색,실현,평가하고,생명 존중 및 윤리적 태도를 갖는다.</x:v>
      </x:c>
      <x:c r="D189" s="3"/>
      <x:c r="E189" s="3"/>
      <x:c r="F189" s="3"/>
      <x:c r="G189" s="3" t="s">
        <x:v>1953</x:v>
      </x:c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</x:row>
    <x:row r="190" spans="1:23" ht="32.75">
      <x:c r="A190" t="s">
        <x:v>725</x:v>
      </x:c>
      <x:c r="B190" s="6" t="str">
        <x:f>LEFT(G190,SEARCH("]",G190))</x:f>
        <x:v>[9기가04-12]</x:v>
      </x:c>
      <x:c r="C190" s="5" t="str">
        <x:f>MID(G190,SEARCH("]",G190)+1,200)</x:f>
        <x:v>기술적 문제에 대한 도전적 태도로 다양한 분야에 활용되고 있는 융합 기술의 사례를 탐구하고 미래의 기술 변화를 전망한다.</x:v>
      </x:c>
      <x:c r="D190" s="3"/>
      <x:c r="E190" s="3"/>
      <x:c r="F190" s="3"/>
      <x:c r="G190" s="3" t="s">
        <x:v>1909</x:v>
      </x:c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</x:row>
    <x:row r="191" spans="1:23" ht="32.75">
      <x:c r="A191" t="s">
        <x:v>725</x:v>
      </x:c>
      <x:c r="B191" s="6" t="str">
        <x:f>LEFT(G191,SEARCH("]",G191))</x:f>
        <x:v>[9기가04-13]</x:v>
      </x:c>
      <x:c r="C191" s="5" t="str">
        <x:f>MID(G191,SEARCH("]",G191)+1,200)</x:f>
        <x:v>긍정적이고 공감하는 문제 해결 태도를 바탕으로 지속가능한 발전과 혁신을 위해 융합 기술 문제를 해결하고 과정과 결과를 평가한다.</x:v>
      </x:c>
      <x:c r="D191" s="3"/>
      <x:c r="E191" s="3"/>
      <x:c r="F191" s="3"/>
      <x:c r="G191" s="3" t="s">
        <x:v>1634</x:v>
      </x:c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</x:row>
    <x:row r="192" spans="1:23" ht="32.75">
      <x:c r="A192" t="s">
        <x:v>32</x:v>
      </x:c>
      <x:c r="B192" s="6" t="str">
        <x:f>LEFT(G192,SEARCH("]",G192))</x:f>
        <x:v>[9도01-01]</x:v>
      </x:c>
      <x:c r="C192" s="5" t="str">
        <x:f>MID(G192,SEARCH("]",G192)+1,200)</x:f>
        <x:v>자신의 삶과 가치관에 대한 성찰을 통해 자아를 올바로 이해하고,삶에서 도덕이 필요한 이유에 근거하여 도덕적인 삶에 대한 의지를 기른다.</x:v>
      </x:c>
      <x:c r="D192" s="3"/>
      <x:c r="E192" s="3"/>
      <x:c r="F192" s="3"/>
      <x:c r="G192" s="3" t="s">
        <x:v>682</x:v>
      </x:c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</x:row>
    <x:row r="193" spans="1:23" ht="32.75">
      <x:c r="A193" t="s">
        <x:v>32</x:v>
      </x:c>
      <x:c r="B193" s="6" t="str">
        <x:f>LEFT(G193,SEARCH("]",G193))</x:f>
        <x:v>[9도01-02]</x:v>
      </x:c>
      <x:c r="C193" s="5" t="str">
        <x:f>MID(G193,SEARCH("]",G193)+1,200)</x:f>
        <x:v>일상에서 발생하는 부도덕한 행동의 여러 원인을 분석하고,도덕적 인격이 갖추어야 할 특성들을 파악하여 이를 내면화하는 의지를 기른다.</x:v>
      </x:c>
      <x:c r="D193" s="3"/>
      <x:c r="E193" s="3"/>
      <x:c r="F193" s="3"/>
      <x:c r="G193" s="3" t="s">
        <x:v>1625</x:v>
      </x:c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</x:row>
    <x:row r="194" spans="1:23" ht="32.75">
      <x:c r="A194" t="s">
        <x:v>32</x:v>
      </x:c>
      <x:c r="B194" s="6" t="str">
        <x:f>LEFT(G194,SEARCH("]",G194))</x:f>
        <x:v>[9도01-03]</x:v>
      </x:c>
      <x:c r="C194" s="5" t="str">
        <x:f>MID(G194,SEARCH("]",G194)+1,200)</x:f>
        <x:v>행복에 관한 심리적,사회적,윤리적 접근 등을 통해 행복의 의미를 종합적으로 파악하고,삶의 목적과 행복의 관계를 정립할 수 있다.</x:v>
      </x:c>
      <x:c r="D194" s="3"/>
      <x:c r="E194" s="3"/>
      <x:c r="F194" s="3"/>
      <x:c r="G194" s="3" t="s">
        <x:v>1627</x:v>
      </x:c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</x:row>
    <x:row r="195" spans="1:23" ht="32.75">
      <x:c r="A195" t="s">
        <x:v>32</x:v>
      </x:c>
      <x:c r="B195" s="6" t="str">
        <x:f>LEFT(G195,SEARCH("]",G195))</x:f>
        <x:v>[9도01-04]</x:v>
      </x:c>
      <x:c r="C195" s="5" t="str">
        <x:f>MID(G195,SEARCH("]",G195)+1,200)</x:f>
        <x:v>옳고 그름을 분별할 수 있는 도덕적 기준을 탐구하고,도덕적 상상력을 바탕으로 일상의 도덕 문제들에 도덕적 추론을 적용할 수 있다.</x:v>
      </x:c>
      <x:c r="D195" s="3"/>
      <x:c r="E195" s="3"/>
      <x:c r="F195" s="3"/>
      <x:c r="G195" s="3" t="s">
        <x:v>1619</x:v>
      </x:c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</x:row>
    <x:row r="196" spans="1:23" ht="32.75">
      <x:c r="A196" t="s">
        <x:v>32</x:v>
      </x:c>
      <x:c r="B196" s="6" t="str">
        <x:f>LEFT(G196,SEARCH("]",G196))</x:f>
        <x:v>[9도01-05]</x:v>
      </x:c>
      <x:c r="C196" s="5" t="str">
        <x:f>MID(G196,SEARCH("]",G196)+1,200)</x:f>
        <x:v>삶의 유한함에 관한 성찰을 통해 생명의 소중함과 의미 있는 삶의 중요성을 인식하고,자신의 미래 모습을 상상하며 삶을 계획하고 이를 실천하는 의지를 기른다.</x:v>
      </x:c>
      <x:c r="D196" s="3"/>
      <x:c r="E196" s="3"/>
      <x:c r="F196" s="3"/>
      <x:c r="G196" s="3" t="s">
        <x:v>582</x:v>
      </x:c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</x:row>
    <x:row r="197" spans="1:23" ht="32.75">
      <x:c r="A197" t="s">
        <x:v>32</x:v>
      </x:c>
      <x:c r="B197" s="6" t="str">
        <x:f>LEFT(G197,SEARCH("]",G197))</x:f>
        <x:v>[9도01-06]</x:v>
      </x:c>
      <x:c r="C197" s="5" t="str">
        <x:f>MID(G197,SEARCH("]",G197)+1,200)</x:f>
        <x:v>내면에 대한 성찰을 통해 심리적 고통과 불안,우울감 등의 원인을 찾고,마음의 평온을 얻을 수 있는 방안들을 다각적으로 모색하여 실천할 수 있다.</x:v>
      </x:c>
      <x:c r="D197" s="3"/>
      <x:c r="E197" s="3"/>
      <x:c r="F197" s="3"/>
      <x:c r="G197" s="3" t="s">
        <x:v>1767</x:v>
      </x:c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</x:row>
    <x:row r="198" spans="1:23" ht="32.75">
      <x:c r="A198" t="s">
        <x:v>32</x:v>
      </x:c>
      <x:c r="B198" s="6" t="str">
        <x:f>LEFT(G198,SEARCH("]",G198))</x:f>
        <x:v>[9도01-07]</x:v>
      </x:c>
      <x:c r="C198" s="5" t="str">
        <x:f>MID(G198,SEARCH("]",G198)+1,200)</x:f>
        <x:v>삶에서 직업이 갖는 의미와 가치를 파악하며,사례 탐구를 통해 직업적 양심과 직업윤리의 필요성을 정당화할 수 있다.</x:v>
      </x:c>
      <x:c r="D198" s="3"/>
      <x:c r="E198" s="3"/>
      <x:c r="F198" s="3"/>
      <x:c r="G198" s="3" t="s">
        <x:v>0</x:v>
      </x:c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</x:row>
    <x:row r="199" spans="1:23" ht="32.75">
      <x:c r="A199" t="s">
        <x:v>32</x:v>
      </x:c>
      <x:c r="B199" s="6" t="str">
        <x:f>LEFT(G199,SEARCH("]",G199))</x:f>
        <x:v>[9도02-01]</x:v>
      </x:c>
      <x:c r="C199" s="5" t="str">
        <x:f>MID(G199,SEARCH("]",G199)+1,200)</x:f>
        <x:v>정서적,배려적 공동체로서 가정의 특성과 도덕적 기능을 파악하고,가정에서 발생하는 갈등을 공감적인 소통과 민주적인 과정을 통해 해소하는 의지를 기른다.</x:v>
      </x:c>
      <x:c r="D199" s="3"/>
      <x:c r="E199" s="3"/>
      <x:c r="F199" s="3"/>
      <x:c r="G199" s="3" t="s">
        <x:v>581</x:v>
      </x:c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</x:row>
    <x:row r="200" spans="1:23" ht="32.75">
      <x:c r="A200" t="s">
        <x:v>32</x:v>
      </x:c>
      <x:c r="B200" s="6" t="str">
        <x:f>LEFT(G200,SEARCH("]",G200))</x:f>
        <x:v>[9도02-02]</x:v>
      </x:c>
      <x:c r="C200" s="5" t="str">
        <x:f>MID(G200,SEARCH("]",G200)+1,200)</x:f>
        <x:v>친구의 의미와 가치를 삶의 맥락 속에서 탐구하고,서로를 인격적으로 존중하는 친구 관계를 상상하며 이를 실현하는 의지를 기른다.</x:v>
      </x:c>
      <x:c r="D200" s="3"/>
      <x:c r="E200" s="3"/>
      <x:c r="F200" s="3"/>
      <x:c r="G200" s="3" t="s">
        <x:v>1890</x:v>
      </x:c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</x:row>
    <x:row r="201" spans="1:23" ht="32.75">
      <x:c r="A201" t="s">
        <x:v>32</x:v>
      </x:c>
      <x:c r="B201" s="6" t="str">
        <x:f>LEFT(G201,SEARCH("]",G201))</x:f>
        <x:v>[9도02-03]</x:v>
      </x:c>
      <x:c r="C201" s="5" t="str">
        <x:f>MID(G201,SEARCH("]",G201)+1,200)</x:f>
        <x:v>가상공간과 현실 세계에 대한 비교⋅분석을 바탕으로 가상공간에서 발생하는 도덕 문제들의원인과 해결 방안을 제안하고,타인을 존중하며 가상공간을 활용하는 태도를 함양한다.</x:v>
      </x:c>
      <x:c r="D201" s="3"/>
      <x:c r="E201" s="3"/>
      <x:c r="F201" s="3"/>
      <x:c r="G201" s="3" t="s">
        <x:v>759</x:v>
      </x:c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</x:row>
    <x:row r="202" spans="1:23" ht="32.75">
      <x:c r="A202" t="s">
        <x:v>32</x:v>
      </x:c>
      <x:c r="B202" s="6" t="str">
        <x:f>LEFT(G202,SEARCH("]",G202))</x:f>
        <x:v>[9도02-04]</x:v>
      </x:c>
      <x:c r="C202" s="5" t="str">
        <x:f>MID(G202,SEARCH("]",G202)+1,200)</x:f>
        <x:v>인간을 관계적 존재로 해석할 수 있는 이유에 근거하여 타인과의 관계에서 필요한 가치⋅덕목을 탐구하고,타인의 생각과 감정에 공감하는 태도를 기른다.</x:v>
      </x:c>
      <x:c r="D202" s="3"/>
      <x:c r="E202" s="3"/>
      <x:c r="F202" s="3"/>
      <x:c r="G202" s="3" t="s">
        <x:v>1762</x:v>
      </x:c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</x:row>
    <x:row r="203" spans="1:23" ht="32.75">
      <x:c r="A203" t="s">
        <x:v>32</x:v>
      </x:c>
      <x:c r="B203" s="6" t="str">
        <x:f>LEFT(G203,SEARCH("]",G203))</x:f>
        <x:v>[9도02-05]</x:v>
      </x:c>
      <x:c r="C203" s="5" t="str">
        <x:f>MID(G203,SEARCH("]",G203)+1,200)</x:f>
        <x:v>다양한 갈등 상황을 평화적으로 해결할 수 있는 방안을 모색하고,폭력의 유형과 원인,결과에 대한 분석을 바탕으로 일상의 폭력 상황에 대한 대처 능력을 기른다.</x:v>
      </x:c>
      <x:c r="D203" s="3"/>
      <x:c r="E203" s="3"/>
      <x:c r="F203" s="3"/>
      <x:c r="G203" s="3" t="s">
        <x:v>195</x:v>
      </x:c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</x:row>
    <x:row r="204" spans="1:23" ht="32.75">
      <x:c r="A204" t="s">
        <x:v>32</x:v>
      </x:c>
      <x:c r="B204" s="6" t="str">
        <x:f>LEFT(G204,SEARCH("]",G204))</x:f>
        <x:v>[9도02-06]</x:v>
      </x:c>
      <x:c r="C204" s="5" t="str">
        <x:f>MID(G204,SEARCH("]",G204)+1,200)</x:f>
        <x:v>청소년기의 바람직한 성윤리를 탐구하여 내면화하고,사회⋅문화적 차원에서 성의 의미를 파악하여 성에 대한 편견의 문제점을 분석하고 이를 바로잡는 의지를 기른다.</x:v>
      </x:c>
      <x:c r="D204" s="3"/>
      <x:c r="E204" s="3"/>
      <x:c r="F204" s="3"/>
      <x:c r="G204" s="3" t="s">
        <x:v>202</x:v>
      </x:c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</x:row>
    <x:row r="205" spans="1:23" ht="32.75">
      <x:c r="A205" t="s">
        <x:v>32</x:v>
      </x:c>
      <x:c r="B205" s="6" t="str">
        <x:f>LEFT(G205,SEARCH("]",G205))</x:f>
        <x:v>[9도03-01]</x:v>
      </x:c>
      <x:c r="C205" s="5" t="str">
        <x:f>MID(G205,SEARCH("]",G205)+1,200)</x:f>
        <x:v>인권을 존중해야 하는 도덕적 이유를 정당화하고,인권 침해 사례에 대한 탐구를 통해 그 원인과 해결 방안을 도출함으로써 인권 감수성을 기른다.</x:v>
      </x:c>
      <x:c r="D205" s="3"/>
      <x:c r="E205" s="3"/>
      <x:c r="F205" s="3"/>
      <x:c r="G205" s="3" t="s">
        <x:v>683</x:v>
      </x:c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</x:row>
    <x:row r="206" spans="1:23" ht="32.75">
      <x:c r="A206" t="s">
        <x:v>32</x:v>
      </x:c>
      <x:c r="B206" s="6" t="str">
        <x:f>LEFT(G206,SEARCH("]",G206))</x:f>
        <x:v>[9도03-02]</x:v>
      </x:c>
      <x:c r="C206" s="5" t="str">
        <x:f>MID(G206,SEARCH("]",G206)+1,200)</x:f>
        <x:v>외집단에 대한 편견을 비판적으로 분석하고,타문화⋅타종교⋅타인종을 존중해야 하는 이유에 근거하여 차이와 다양성에 대한 열린 마음을 기른다.</x:v>
      </x:c>
      <x:c r="D206" s="3"/>
      <x:c r="E206" s="3"/>
      <x:c r="F206" s="3"/>
      <x:c r="G206" s="3" t="s">
        <x:v>681</x:v>
      </x:c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</x:row>
    <x:row r="207" spans="1:23" ht="32.75">
      <x:c r="A207" t="s">
        <x:v>32</x:v>
      </x:c>
      <x:c r="B207" s="6" t="str">
        <x:f>LEFT(G207,SEARCH("]",G207))</x:f>
        <x:v>[9도03-03]</x:v>
      </x:c>
      <x:c r="C207" s="5" t="str">
        <x:f>MID(G207,SEARCH("]",G207)+1,200)</x:f>
        <x:v>북한에 대한 이해를 바탕으로 분단의 문제점을 분석하고,도덕적 가치에 기초하여 통일의의미를 재구성함으로써 바람직한 남북관계 및 통일의 방향을 제안할 수 있다.</x:v>
      </x:c>
      <x:c r="D207" s="3"/>
      <x:c r="E207" s="3"/>
      <x:c r="F207" s="3"/>
      <x:c r="G207" s="3" t="s">
        <x:v>200</x:v>
      </x:c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</x:row>
    <x:row r="208" spans="1:23" ht="32.75">
      <x:c r="A208" t="s">
        <x:v>32</x:v>
      </x:c>
      <x:c r="B208" s="6" t="str">
        <x:f>LEFT(G208,SEARCH("]",G208))</x:f>
        <x:v>[9도03-04]</x:v>
      </x:c>
      <x:c r="C208" s="5" t="str">
        <x:f>MID(G208,SEARCH("]",G208)+1,200)</x:f>
        <x:v>정의로운 사회를 상상해보고,이를 실현할 수 있는 정의의 원칙과 제도에 대한 다양한 의견들을 민주적인 방식으로 종합할 수 있다.</x:v>
      </x:c>
      <x:c r="D208" s="3"/>
      <x:c r="E208" s="3"/>
      <x:c r="F208" s="3"/>
      <x:c r="G208" s="3" t="s">
        <x:v>1906</x:v>
      </x:c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</x:row>
    <x:row r="209" spans="1:23" ht="32.75">
      <x:c r="A209" t="s">
        <x:v>32</x:v>
      </x:c>
      <x:c r="B209" s="6" t="str">
        <x:f>LEFT(G209,SEARCH("]",G209))</x:f>
        <x:v>[9도03-05]</x:v>
      </x:c>
      <x:c r="C209" s="5" t="str">
        <x:f>MID(G209,SEARCH("]",G209)+1,200)</x:f>
        <x:v>국가와 시민 사이에서 발생하는 윤리적 쟁점들을 탐구하고,국가와 시민 사이의 바람직한관계에 기초하여 국가와 시민의 역할을 재구성할 수 있다.</x:v>
      </x:c>
      <x:c r="D209" s="3"/>
      <x:c r="E209" s="3"/>
      <x:c r="F209" s="3"/>
      <x:c r="G209" s="3" t="s">
        <x:v>680</x:v>
      </x:c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</x:row>
    <x:row r="210" spans="1:23" ht="32.75">
      <x:c r="A210" t="s">
        <x:v>32</x:v>
      </x:c>
      <x:c r="B210" s="6" t="str">
        <x:f>LEFT(G210,SEARCH("]",G210))</x:f>
        <x:v>[9도03-06]</x:v>
      </x:c>
      <x:c r="C210" s="5" t="str">
        <x:f>MID(G210,SEARCH("]",G210)+1,200)</x:f>
        <x:v>인류의 고통에 공감하며 지구적 차원의 다양한 도덕 문제들을 탐구하고,해결 방안을 모색하여 실천하는 자세를 갖는다.</x:v>
      </x:c>
      <x:c r="D210" s="3"/>
      <x:c r="E210" s="3"/>
      <x:c r="F210" s="3"/>
      <x:c r="G210" s="3" t="s">
        <x:v>15</x:v>
      </x:c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</x:row>
    <x:row r="211" spans="1:23" ht="32.75">
      <x:c r="A211" t="s">
        <x:v>32</x:v>
      </x:c>
      <x:c r="B211" s="6" t="str">
        <x:f>LEFT(G211,SEARCH("]",G211))</x:f>
        <x:v>[9도03-07]</x:v>
      </x:c>
      <x:c r="C211" s="5" t="str">
        <x:f>MID(G211,SEARCH("]",G211)+1,200)</x:f>
        <x:v>현대 과학기술과 관련된 윤리적 쟁점의 분석을 통해 과학기술의 유용성과 한계를 인식하고,과학기술의 바람직한 활용에 관한 관심과 책임 의식을 기른다.</x:v>
      </x:c>
      <x:c r="D211" s="3"/>
      <x:c r="E211" s="3"/>
      <x:c r="F211" s="3"/>
      <x:c r="G211" s="3" t="s">
        <x:v>1766</x:v>
      </x:c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</x:row>
    <x:row r="212" spans="1:23" ht="32.75">
      <x:c r="A212" t="s">
        <x:v>32</x:v>
      </x:c>
      <x:c r="B212" s="6" t="str">
        <x:f>LEFT(G212,SEARCH("]",G212))</x:f>
        <x:v>[9도04-01]</x:v>
      </x:c>
      <x:c r="C212" s="5" t="str">
        <x:f>MID(G212,SEARCH("]",G212)+1,200)</x:f>
        <x:v>인간 이외의 생명체를 도덕적으로 고려해야 하는 이유를 정당화하고,생명을 가진 존재들이 겪는 고통에 공감하며 생명을 소중히 여기는 태도를 기른다.</x:v>
      </x:c>
      <x:c r="D212" s="3"/>
      <x:c r="E212" s="3"/>
      <x:c r="F212" s="3"/>
      <x:c r="G212" s="3" t="s">
        <x:v>1763</x:v>
      </x:c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</x:row>
    <x:row r="213" spans="1:23" ht="32.75">
      <x:c r="A213" t="s">
        <x:v>32</x:v>
      </x:c>
      <x:c r="B213" s="6" t="str">
        <x:f>LEFT(G213,SEARCH("]",G213))</x:f>
        <x:v>[9도04-02]</x:v>
      </x:c>
      <x:c r="C213" s="5" t="str">
        <x:f>MID(G213,SEARCH("]",G213)+1,200)</x:f>
        <x:v>자연에 대한 동양과 서양의 주요 입장들을 토대로 인간과 자연의 바람직한 관계를 도출하고,환경 위기에 대한 윤리적 책임을 구체화하여 실천할 수 있다.</x:v>
      </x:c>
      <x:c r="D213" s="3"/>
      <x:c r="E213" s="3"/>
      <x:c r="F213" s="3"/>
      <x:c r="G213" s="3" t="s">
        <x:v>1765</x:v>
      </x:c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</x:row>
    <x:row r="214" spans="1:23">
      <x:c r="A214" t="s">
        <x:v>37</x:v>
      </x:c>
      <x:c r="B214" s="6" t="str">
        <x:f>LEFT(G214,SEARCH("]",G214))</x:f>
        <x:v>[9미01-01]</x:v>
      </x:c>
      <x:c r="C214" s="5" t="str">
        <x:f>MID(G214,SEARCH("]",G214)+1,200)</x:f>
        <x:v>감각을 활용하여 대상과 현상을 탐색하고 자신과 환경에 대한 감수성을 확장할 수 있다.</x:v>
      </x:c>
      <x:c r="D214" s="3"/>
      <x:c r="E214" s="3"/>
      <x:c r="F214" s="3"/>
      <x:c r="G214" s="3" t="s">
        <x:v>107</x:v>
      </x:c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</x:row>
    <x:row r="215" spans="1:23">
      <x:c r="A215" t="s">
        <x:v>37</x:v>
      </x:c>
      <x:c r="B215" s="6" t="str">
        <x:f>LEFT(G215,SEARCH("]",G215))</x:f>
        <x:v>[9미01-02]</x:v>
      </x:c>
      <x:c r="C215" s="5" t="str">
        <x:f>MID(G215,SEARCH("]",G215)+1,200)</x:f>
        <x:v>시각 문화의 의미와 역할을 알고 이미지를 비판적으로 해석할 수 있다.</x:v>
      </x:c>
      <x:c r="D215" s="3"/>
      <x:c r="E215" s="3"/>
      <x:c r="F215" s="3"/>
      <x:c r="G215" s="3" t="s">
        <x:v>1683</x:v>
      </x:c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</x:row>
    <x:row r="216" spans="1:23">
      <x:c r="A216" t="s">
        <x:v>37</x:v>
      </x:c>
      <x:c r="B216" s="6" t="str">
        <x:f>LEFT(G216,SEARCH("]",G216))</x:f>
        <x:v>[9미01-03]</x:v>
      </x:c>
      <x:c r="C216" s="5" t="str">
        <x:f>MID(G216,SEARCH("]",G216)+1,200)</x:f>
        <x:v>다양한 문화를 존중하며 이미지를 활용하여 소통할 수 있다.</x:v>
      </x:c>
      <x:c r="D216" s="3"/>
      <x:c r="E216" s="3"/>
      <x:c r="F216" s="3"/>
      <x:c r="G216" s="3" t="s">
        <x:v>57</x:v>
      </x:c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</x:row>
    <x:row r="217" spans="1:23">
      <x:c r="A217" t="s">
        <x:v>37</x:v>
      </x:c>
      <x:c r="B217" s="6" t="str">
        <x:f>LEFT(G217,SEARCH("]",G217))</x:f>
        <x:v>[9미01-04]</x:v>
      </x:c>
      <x:c r="C217" s="5" t="str">
        <x:f>MID(G217,SEARCH("]",G217)+1,200)</x:f>
        <x:v>삶과 미술의 관계를 이해하고 다양한 분야와의 연결 방안을 모색할 수 있다.</x:v>
      </x:c>
      <x:c r="D217" s="3"/>
      <x:c r="E217" s="3"/>
      <x:c r="F217" s="3"/>
      <x:c r="G217" s="3" t="s">
        <x:v>1873</x:v>
      </x:c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</x:row>
    <x:row r="218" spans="1:23">
      <x:c r="A218" t="s">
        <x:v>37</x:v>
      </x:c>
      <x:c r="B218" s="6" t="str">
        <x:f>LEFT(G218,SEARCH("]",G218))</x:f>
        <x:v>[9미02-01]</x:v>
      </x:c>
      <x:c r="C218" s="5" t="str">
        <x:f>MID(G218,SEARCH("]",G218)+1,200)</x:f>
        <x:v>주제를 탐구하고 의도를 반영하여 적합한표현을 계획할 수 있다.</x:v>
      </x:c>
      <x:c r="D218" s="3"/>
      <x:c r="E218" s="3"/>
      <x:c r="F218" s="3"/>
      <x:c r="G218" s="3" t="s">
        <x:v>55</x:v>
      </x:c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</x:row>
    <x:row r="219" spans="1:23">
      <x:c r="A219" t="s">
        <x:v>37</x:v>
      </x:c>
      <x:c r="B219" s="6" t="str">
        <x:f>LEFT(G219,SEARCH("]",G219))</x:f>
        <x:v>[9미02-02]</x:v>
      </x:c>
      <x:c r="C219" s="5" t="str">
        <x:f>MID(G219,SEARCH("]",G219)+1,200)</x:f>
        <x:v>주도적이고 도전적인 태도로 다양한 미술 표현을 실험하고 작품에 적용할 수 있다.</x:v>
      </x:c>
      <x:c r="D219" s="3"/>
      <x:c r="E219" s="3"/>
      <x:c r="F219" s="3"/>
      <x:c r="G219" s="3" t="s">
        <x:v>1921</x:v>
      </x:c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</x:row>
    <x:row r="220" spans="1:23" ht="32.75">
      <x:c r="A220" t="s">
        <x:v>37</x:v>
      </x:c>
      <x:c r="B220" s="6" t="str">
        <x:f>LEFT(G220,SEARCH("]",G220))</x:f>
        <x:v>[9미02-03]</x:v>
      </x:c>
      <x:c r="C220" s="5" t="str">
        <x:f>MID(G220,SEARCH("]",G220)+1,200)</x:f>
        <x:v>조형 요소와 원리,표현 재료와 방법,디지털 매체를 포함한 다양한 매체를 활용하여주제를 효과적으로 표현할 수 있다.</x:v>
      </x:c>
      <x:c r="D220" s="3"/>
      <x:c r="E220" s="3"/>
      <x:c r="F220" s="3"/>
      <x:c r="G220" s="3" t="s">
        <x:v>1636</x:v>
      </x:c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</x:row>
    <x:row r="221" spans="1:23">
      <x:c r="A221" t="s">
        <x:v>37</x:v>
      </x:c>
      <x:c r="B221" s="6" t="str">
        <x:f>LEFT(G221,SEARCH("]",G221))</x:f>
        <x:v>[9미02-04]</x:v>
      </x:c>
      <x:c r="C221" s="5" t="str">
        <x:f>MID(G221,SEARCH("]",G221)+1,200)</x:f>
        <x:v>자신과 타인의 작품을 존중하며,다양한 방법으로 공유하고 소통할 수 있다.</x:v>
      </x:c>
      <x:c r="D221" s="3"/>
      <x:c r="E221" s="3"/>
      <x:c r="F221" s="3"/>
      <x:c r="G221" s="3" t="s">
        <x:v>1870</x:v>
      </x:c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</x:row>
    <x:row r="222" spans="1:23">
      <x:c r="A222" t="s">
        <x:v>37</x:v>
      </x:c>
      <x:c r="B222" s="6" t="str">
        <x:f>LEFT(G222,SEARCH("]",G222))</x:f>
        <x:v>[9미02-05]</x:v>
      </x:c>
      <x:c r="C222" s="5" t="str">
        <x:f>MID(G222,SEARCH("]",G222)+1,200)</x:f>
        <x:v>미술 표현 과정에서의 경험을 성찰하고 삶의 문제 해결에 활용할 수 있다.</x:v>
      </x:c>
      <x:c r="D222" s="3"/>
      <x:c r="E222" s="3"/>
      <x:c r="F222" s="3"/>
      <x:c r="G222" s="3" t="s">
        <x:v>1874</x:v>
      </x:c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</x:row>
    <x:row r="223" spans="1:23">
      <x:c r="A223" t="s">
        <x:v>37</x:v>
      </x:c>
      <x:c r="B223" s="6" t="str">
        <x:f>LEFT(G223,SEARCH("]",G223))</x:f>
        <x:v>[9미03-01]</x:v>
      </x:c>
      <x:c r="C223" s="5" t="str">
        <x:f>MID(G223,SEARCH("]",G223)+1,200)</x:f>
        <x:v>미술의 시대적,지역적,사회적 맥락을 이해하고 설명할 수 있다.</x:v>
      </x:c>
      <x:c r="D223" s="3"/>
      <x:c r="E223" s="3"/>
      <x:c r="F223" s="3"/>
      <x:c r="G223" s="3" t="s">
        <x:v>186</x:v>
      </x:c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</x:row>
    <x:row r="224" spans="1:23">
      <x:c r="A224" t="s">
        <x:v>37</x:v>
      </x:c>
      <x:c r="B224" s="6" t="str">
        <x:f>LEFT(G224,SEARCH("]",G224))</x:f>
        <x:v>[9미03-02]</x:v>
      </x:c>
      <x:c r="C224" s="5" t="str">
        <x:f>MID(G224,SEARCH("]",G224)+1,200)</x:f>
        <x:v>작품의 내용과 형식을 분석하고 미술 용어와 지식을 활용하여 설명할 수 있다.</x:v>
      </x:c>
      <x:c r="D224" s="3"/>
      <x:c r="E224" s="3"/>
      <x:c r="F224" s="3"/>
      <x:c r="G224" s="3" t="s">
        <x:v>1876</x:v>
      </x:c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</x:row>
    <x:row r="225" spans="1:23">
      <x:c r="A225" t="s">
        <x:v>37</x:v>
      </x:c>
      <x:c r="B225" s="6" t="str">
        <x:f>LEFT(G225,SEARCH("]",G225))</x:f>
        <x:v>[9미03-03]</x:v>
      </x:c>
      <x:c r="C225" s="5" t="str">
        <x:f>MID(G225,SEARCH("]",G225)+1,200)</x:f>
        <x:v>다양한 감상 방법과 관점을 활용하여 작품을 해석할 수 있다.</x:v>
      </x:c>
      <x:c r="D225" s="3"/>
      <x:c r="E225" s="3"/>
      <x:c r="F225" s="3"/>
      <x:c r="G225" s="3" t="s">
        <x:v>1034</x:v>
      </x:c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</x:row>
    <x:row r="226" spans="1:23" ht="32.75">
      <x:c r="A226" t="s">
        <x:v>37</x:v>
      </x:c>
      <x:c r="B226" s="6" t="str">
        <x:f>LEFT(G226,SEARCH("]",G226))</x:f>
        <x:v>[9미03-04]</x:v>
      </x:c>
      <x:c r="C226" s="5" t="str">
        <x:f>MID(G226,SEARCH("]",G226)+1,200)</x:f>
        <x:v>미술의 다원성에 대한 존중을 바탕으로 미술 감상 경험을 삶과 연결하고 공동체 문화에 기여할 수 있다.</x:v>
      </x:c>
      <x:c r="D226" s="3"/>
      <x:c r="E226" s="3"/>
      <x:c r="F226" s="3"/>
      <x:c r="G226" s="3" t="s">
        <x:v>524</x:v>
      </x:c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</x:row>
    <x:row r="227" spans="1:23">
      <x:c r="A227" t="s">
        <x:v>43</x:v>
      </x:c>
      <x:c r="B227" s="6" t="str">
        <x:f>LEFT(G227,SEARCH("]",G227))</x:f>
        <x:v>[9보01-01]</x:v>
      </x:c>
      <x:c r="C227" s="5" t="str">
        <x:f>MID(G227,SEARCH("]",G227)+1,200)</x:f>
        <x:v>건강의 개념과 영향요인,건강관리 모델을 탐구하여 건강을 관리하는 태도를 갖는다.</x:v>
      </x:c>
      <x:c r="D227" s="3"/>
      <x:c r="E227" s="3"/>
      <x:c r="F227" s="3"/>
      <x:c r="G227" s="3" t="s">
        <x:v>1922</x:v>
      </x:c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</x:row>
    <x:row r="228" spans="1:23">
      <x:c r="A228" t="s">
        <x:v>43</x:v>
      </x:c>
      <x:c r="B228" s="6" t="str">
        <x:f>LEFT(G228,SEARCH("]",G228))</x:f>
        <x:v>[9보01-02]</x:v>
      </x:c>
      <x:c r="C228" s="5" t="str">
        <x:f>MID(G228,SEARCH("]",G228)+1,200)</x:f>
        <x:v>몸과 마음의 신호와 건강지표를 통해 건강상태를 평가하여 건강관리에 적용한다.</x:v>
      </x:c>
      <x:c r="D228" s="3"/>
      <x:c r="E228" s="3"/>
      <x:c r="F228" s="3"/>
      <x:c r="G228" s="3" t="s">
        <x:v>1881</x:v>
      </x:c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</x:row>
    <x:row r="229" spans="1:23">
      <x:c r="A229" t="s">
        <x:v>43</x:v>
      </x:c>
      <x:c r="B229" s="6" t="str">
        <x:f>LEFT(G229,SEARCH("]",G229))</x:f>
        <x:v>[9보01-03]</x:v>
      </x:c>
      <x:c r="C229" s="5" t="str">
        <x:f>MID(G229,SEARCH("]",G229)+1,200)</x:f>
        <x:v>건강한 수면,식습관,신체활동에 대해 알아보고 건강생활습관을 계획하고 실천한다.</x:v>
      </x:c>
      <x:c r="D229" s="3"/>
      <x:c r="E229" s="3"/>
      <x:c r="F229" s="3"/>
      <x:c r="G229" s="3" t="s">
        <x:v>1917</x:v>
      </x:c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</x:row>
    <x:row r="230" spans="1:23">
      <x:c r="A230" t="s">
        <x:v>43</x:v>
      </x:c>
      <x:c r="B230" s="6" t="str">
        <x:f>LEFT(G230,SEARCH("]",G230))</x:f>
        <x:v>[9보01-04]</x:v>
      </x:c>
      <x:c r="C230" s="5" t="str">
        <x:f>MID(G230,SEARCH("]",G230)+1,200)</x:f>
        <x:v>건강문제와 건강생활기술을 탐색하여 질병을 예방할 수 있도록 건강을 관리한다.</x:v>
      </x:c>
      <x:c r="D230" s="3"/>
      <x:c r="E230" s="3"/>
      <x:c r="F230" s="3"/>
      <x:c r="G230" s="3" t="s">
        <x:v>1877</x:v>
      </x:c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</x:row>
    <x:row r="231" spans="1:23" ht="32.75">
      <x:c r="A231" t="s">
        <x:v>43</x:v>
      </x:c>
      <x:c r="B231" s="6" t="str">
        <x:f>LEFT(G231,SEARCH("]",G231))</x:f>
        <x:v>[9보01-05]</x:v>
      </x:c>
      <x:c r="C231" s="5" t="str">
        <x:f>MID(G231,SEARCH("]",G231)+1,200)</x:f>
        <x:v>건강에 대한 사회적 지지의 중요성을 인식하고 개인과 공동체의 건강옹호활동을 협력적으로탐색한다.</x:v>
      </x:c>
      <x:c r="D231" s="3"/>
      <x:c r="E231" s="3"/>
      <x:c r="F231" s="3"/>
      <x:c r="G231" s="3" t="s">
        <x:v>1706</x:v>
      </x:c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</x:row>
    <x:row r="232" spans="1:23">
      <x:c r="A232" t="s">
        <x:v>43</x:v>
      </x:c>
      <x:c r="B232" s="6" t="str">
        <x:f>LEFT(G232,SEARCH("]",G232))</x:f>
        <x:v>[9보02-01]</x:v>
      </x:c>
      <x:c r="C232" s="5" t="str">
        <x:f>MID(G232,SEARCH("]",G232)+1,200)</x:f>
        <x:v>약물 오⋅남용과 흡연,음주의 유혹과 압력에 대해 안전하게 선택하고 대처⋅옹호한다.</x:v>
      </x:c>
      <x:c r="D232" s="3"/>
      <x:c r="E232" s="3"/>
      <x:c r="F232" s="3"/>
      <x:c r="G232" s="3" t="s">
        <x:v>136</x:v>
      </x:c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</x:row>
    <x:row r="233" spans="1:23" ht="32.75">
      <x:c r="A233" t="s">
        <x:v>43</x:v>
      </x:c>
      <x:c r="B233" s="6" t="str">
        <x:f>LEFT(G233,SEARCH("]",G233))</x:f>
        <x:v>[9보02-02]</x:v>
      </x:c>
      <x:c r="C233" s="5" t="str">
        <x:f>MID(G233,SEARCH("]",G233)+1,200)</x:f>
        <x:v>행위 중독이 건강에 미치는 영향과 위험요인 및 대처방안을 탐색하여 예방하고 관리하려는 태도를 갖는다.</x:v>
      </x:c>
      <x:c r="D233" s="3"/>
      <x:c r="E233" s="3"/>
      <x:c r="F233" s="3"/>
      <x:c r="G233" s="3" t="s">
        <x:v>544</x:v>
      </x:c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</x:row>
    <x:row r="234" spans="1:23" ht="32.75">
      <x:c r="A234" t="s">
        <x:v>43</x:v>
      </x:c>
      <x:c r="B234" s="6" t="str">
        <x:f>LEFT(G234,SEARCH("]",G234))</x:f>
        <x:v>[9보02-03]</x:v>
      </x:c>
      <x:c r="C234" s="5" t="str">
        <x:f>MID(G234,SEARCH("]",G234)+1,200)</x:f>
        <x:v>자아 존중감에 대해 이해하고 생활 속에서 자아 존중감을 높이는 상황과 저하시키는 상황을 탐색하여 대처하고 지지하여 건강한 자아상을 추구한다.</x:v>
      </x:c>
      <x:c r="D234" s="3"/>
      <x:c r="E234" s="3"/>
      <x:c r="F234" s="3"/>
      <x:c r="G234" s="3" t="s">
        <x:v>275</x:v>
      </x:c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</x:row>
    <x:row r="235" spans="1:23" ht="32.75">
      <x:c r="A235" t="s">
        <x:v>43</x:v>
      </x:c>
      <x:c r="B235" s="6" t="str">
        <x:f>LEFT(G235,SEARCH("]",G235))</x:f>
        <x:v>[9보02-04]</x:v>
      </x:c>
      <x:c r="C235" s="5" t="str">
        <x:f>MID(G235,SEARCH("]",G235)+1,200)</x:f>
        <x:v>감정과 스트레스의 적절한 인식과 표현,지지와 공감 및 다양성 존중을 통해 관계 속에서 행복함과 건강한 관계 맺기를 보여준다.</x:v>
      </x:c>
      <x:c r="D235" s="3"/>
      <x:c r="E235" s="3"/>
      <x:c r="F235" s="3"/>
      <x:c r="G235" s="3" t="s">
        <x:v>1895</x:v>
      </x:c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</x:row>
    <x:row r="236" spans="1:23" ht="32.75">
      <x:c r="A236" t="s">
        <x:v>43</x:v>
      </x:c>
      <x:c r="B236" s="6" t="str">
        <x:f>LEFT(G236,SEARCH("]",G236))</x:f>
        <x:v>[9보02-05]</x:v>
      </x:c>
      <x:c r="C236" s="5" t="str">
        <x:f>MID(G236,SEARCH("]",G236)+1,200)</x:f>
        <x:v>삶과 죽음,상실의 의미에 대한 성찰을 바탕으로,삶의 소중함을 깨닫고 죽음⋅상실에 건강하게 대처하는 자세를 지지한다.</x:v>
      </x:c>
      <x:c r="D236" s="3"/>
      <x:c r="E236" s="3"/>
      <x:c r="F236" s="3"/>
      <x:c r="G236" s="3" t="s">
        <x:v>1955</x:v>
      </x:c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</x:row>
    <x:row r="237" spans="1:23" ht="32.75">
      <x:c r="A237" t="s">
        <x:v>43</x:v>
      </x:c>
      <x:c r="B237" s="6" t="str">
        <x:f>LEFT(G237,SEARCH("]",G237))</x:f>
        <x:v>[9보03-01]</x:v>
      </x:c>
      <x:c r="C237" s="5" t="str">
        <x:f>MID(G237,SEARCH("]",G237)+1,200)</x:f>
        <x:v>성의 개념과 성역할 및 영향요인에 대해 성인지적 관점에서 탐색하여 안전하고 행복한 성문화와 성의식의 필요성을 이해한다.</x:v>
      </x:c>
      <x:c r="D237" s="3"/>
      <x:c r="E237" s="3"/>
      <x:c r="F237" s="3"/>
      <x:c r="G237" s="3" t="s">
        <x:v>1963</x:v>
      </x:c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</x:row>
    <x:row r="238" spans="1:23" ht="32.75">
      <x:c r="A238" t="s">
        <x:v>43</x:v>
      </x:c>
      <x:c r="B238" s="6" t="str">
        <x:f>LEFT(G238,SEARCH("]",G238))</x:f>
        <x:v>[9보03-02]</x:v>
      </x:c>
      <x:c r="C238" s="5" t="str">
        <x:f>MID(G238,SEARCH("]",G238)+1,200)</x:f>
        <x:v>청소년기 성적 발달과 관계,신체상에 대해 알아보고 사회적 조건을 이해하며 건강하게 관리한다.</x:v>
      </x:c>
      <x:c r="D238" s="3"/>
      <x:c r="E238" s="3"/>
      <x:c r="F238" s="3"/>
      <x:c r="G238" s="3" t="s">
        <x:v>1</x:v>
      </x:c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</x:row>
    <x:row r="239" spans="1:23" ht="32.75">
      <x:c r="A239" t="s">
        <x:v>43</x:v>
      </x:c>
      <x:c r="B239" s="6" t="str">
        <x:f>LEFT(G239,SEARCH("]",G239))</x:f>
        <x:v>[9보03-03]</x:v>
      </x:c>
      <x:c r="C239" s="5" t="str">
        <x:f>MID(G239,SEARCH("]",G239)+1,200)</x:f>
        <x:v>성적자기결정권을 균형 있게 탐색하여 안전하고 행복한 대처전략을 세우고 이성 교제 시 경계를 존중하고 배려하는 자세를 갖는다.</x:v>
      </x:c>
      <x:c r="D239" s="1"/>
      <x:c r="E239" s="1"/>
      <x:c r="F239" s="1"/>
      <x:c r="G239" s="3" t="s">
        <x:v>1896</x:v>
      </x:c>
      <x:c r="H239" s="1"/>
      <x:c r="I239" s="1"/>
      <x:c r="J239" s="1"/>
      <x:c r="K239" s="3"/>
      <x:c r="L239" s="3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</x:row>
    <x:row r="240" spans="1:23" ht="32.75">
      <x:c r="A240" t="s">
        <x:v>43</x:v>
      </x:c>
      <x:c r="B240" s="6" t="str">
        <x:f>LEFT(G240,SEARCH("]",G240))</x:f>
        <x:v>[9보03-04]</x:v>
      </x:c>
      <x:c r="C240" s="5" t="str">
        <x:f>MID(G240,SEARCH("]",G240)+1,200)</x:f>
        <x:v>성폭력⋅성매개감염병 등 성 건강 위험요소를 미디어 문해력 및 성문화와 관련지어 탐색하고건강하게 관리⋅옹호한다.</x:v>
      </x:c>
      <x:c r="D240" s="1"/>
      <x:c r="E240" s="1"/>
      <x:c r="F240" s="1"/>
      <x:c r="G240" s="3" t="s">
        <x:v>1945</x:v>
      </x:c>
      <x:c r="H240" s="1"/>
      <x:c r="I240" s="1"/>
      <x:c r="J240" s="1"/>
      <x:c r="K240" s="3"/>
      <x:c r="L240" s="3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</x:row>
    <x:row r="241" spans="1:23" ht="32.75">
      <x:c r="A241" t="s">
        <x:v>43</x:v>
      </x:c>
      <x:c r="B241" s="6" t="str">
        <x:f>LEFT(G241,SEARCH("]",G241))</x:f>
        <x:v>[9보03-05]</x:v>
      </x:c>
      <x:c r="C241" s="5" t="str">
        <x:f>MID(G241,SEARCH("]",G241)+1,200)</x:f>
        <x:v>임신,피임에 대한 이해를 바탕으로 십대의 임신과 미혼 부모 문제가 개인과 사회에 미치는 영향을 분석하고 건강에 유익한 선택과 자원을 지지한다.</x:v>
      </x:c>
      <x:c r="D241" s="1"/>
      <x:c r="E241" s="1"/>
      <x:c r="F241" s="1"/>
      <x:c r="G241" s="3" t="s">
        <x:v>1768</x:v>
      </x:c>
      <x:c r="H241" s="1"/>
      <x:c r="I241" s="1"/>
      <x:c r="J241" s="1"/>
      <x:c r="K241" s="3"/>
      <x:c r="L241" s="3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</x:row>
    <x:row r="242" spans="1:23" ht="32.75">
      <x:c r="A242" t="s">
        <x:v>43</x:v>
      </x:c>
      <x:c r="B242" s="6" t="str">
        <x:f>LEFT(G242,SEARCH("]",G242))</x:f>
        <x:v>[9보03-06]</x:v>
      </x:c>
      <x:c r="C242" s="5" t="str">
        <x:f>MID(G242,SEARCH("]",G242)+1,200)</x:f>
        <x:v>청소년의 성 건강과 관련하여 사회적 쟁점이 있는 이슈들에 대해 다양한 입장의 근거와 맥락,고정 관념,차별,불평등한 상황을 파악하여 균형 있고 평등한 성문화를 조성하려는 자세를 갖는다.</x:v>
      </x:c>
      <x:c r="D242" s="1"/>
      <x:c r="E242" s="1"/>
      <x:c r="F242" s="1"/>
      <x:c r="G242" s="3" t="s">
        <x:v>59</x:v>
      </x:c>
      <x:c r="H242" s="1"/>
      <x:c r="I242" s="1"/>
      <x:c r="J242" s="1"/>
      <x:c r="K242" s="3"/>
      <x:c r="L242" s="3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</x:row>
    <x:row r="243" spans="1:23" ht="32.75">
      <x:c r="A243" t="s">
        <x:v>43</x:v>
      </x:c>
      <x:c r="B243" s="6" t="str">
        <x:f>LEFT(G243,SEARCH("]",G243))</x:f>
        <x:v>[9보04-01]</x:v>
      </x:c>
      <x:c r="C243" s="5" t="str">
        <x:f>MID(G243,SEARCH("]",G243)+1,200)</x:f>
        <x:v>건강안전의 의미와 위험요인을 탐구하여 질병과 사고를 예방하고 관리하며 건강안전 지향적환경 개선에 적극적인 태도를 갖는다.</x:v>
      </x:c>
      <x:c r="D243" s="1"/>
      <x:c r="E243" s="1"/>
      <x:c r="F243" s="1"/>
      <x:c r="G243" s="3" t="s">
        <x:v>1891</x:v>
      </x:c>
      <x:c r="H243" s="1"/>
      <x:c r="I243" s="1"/>
      <x:c r="J243" s="1"/>
      <x:c r="K243" s="3"/>
      <x:c r="L243" s="3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</x:row>
    <x:row r="244" spans="1:23" ht="32.75">
      <x:c r="A244" t="s">
        <x:v>43</x:v>
      </x:c>
      <x:c r="B244" s="6" t="str">
        <x:f>LEFT(G244,SEARCH("]",G244))</x:f>
        <x:v>[9보04-02]</x:v>
      </x:c>
      <x:c r="C244" s="5" t="str">
        <x:f>MID(G244,SEARCH("]",G244)+1,200)</x:f>
        <x:v>급⋅만성 질병의 위험요인과 건강에 미치는 영향을 탐색하여,질병과 함께 건강하게 살아가기 위한 방안을 세우고 실천한다.</x:v>
      </x:c>
      <x:c r="D244" s="1"/>
      <x:c r="E244" s="1"/>
      <x:c r="F244" s="1"/>
      <x:c r="G244" s="3" t="s">
        <x:v>1957</x:v>
      </x:c>
      <x:c r="H244" s="1"/>
      <x:c r="I244" s="1"/>
      <x:c r="J244" s="1"/>
      <x:c r="K244" s="3"/>
      <x:c r="L244" s="3"/>
      <x:c r="M244" s="1"/>
      <x:c r="N244" s="1"/>
      <x:c r="O244" s="1"/>
      <x:c r="P244" s="1"/>
      <x:c r="Q244" s="1"/>
      <x:c r="R244" s="3"/>
      <x:c r="S244" s="3"/>
      <x:c r="T244" s="3"/>
      <x:c r="U244" s="3"/>
      <x:c r="V244" s="3"/>
      <x:c r="W244" s="3"/>
    </x:row>
    <x:row r="245" spans="1:23" ht="32.75">
      <x:c r="A245" t="s">
        <x:v>43</x:v>
      </x:c>
      <x:c r="B245" s="6" t="str">
        <x:f>LEFT(G245,SEARCH("]",G245))</x:f>
        <x:v>[9보04-03]</x:v>
      </x:c>
      <x:c r="C245" s="5" t="str">
        <x:f>MID(G245,SEARCH("]",G245)+1,200)</x:f>
        <x:v>감염병과 면역의 원리를 이해하고 개인과 공동체가 지켜야 할 건강수칙을 탐색하여 근거와 함께 제안하고 실천한다.</x:v>
      </x:c>
      <x:c r="D245" s="3"/>
      <x:c r="E245" s="3"/>
      <x:c r="F245" s="3"/>
      <x:c r="G245" s="3" t="s">
        <x:v>1933</x:v>
      </x:c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</x:row>
    <x:row r="246" spans="1:23" ht="32.75">
      <x:c r="A246" t="s">
        <x:v>43</x:v>
      </x:c>
      <x:c r="B246" s="6" t="str">
        <x:f>LEFT(G246,SEARCH("]",G246))</x:f>
        <x:v>[9보04-04]</x:v>
      </x:c>
      <x:c r="C246" s="5" t="str">
        <x:f>MID(G246,SEARCH("]",G246)+1,200)</x:f>
        <x:v>상황에 따른 응급처치의 원리와 방법을 이해하고,다양한 위기 및 응급상황에서 적절한 응급처치와 협력적 대응 방안을 탐색하여 적용한다.</x:v>
      </x:c>
      <x:c r="D246" s="3"/>
      <x:c r="E246" s="3"/>
      <x:c r="F246" s="3"/>
      <x:c r="G246" s="3" t="s">
        <x:v>1630</x:v>
      </x:c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</x:row>
    <x:row r="247" spans="1:23" ht="32.75">
      <x:c r="A247" t="s">
        <x:v>43</x:v>
      </x:c>
      <x:c r="B247" s="6" t="str">
        <x:f>LEFT(G247,SEARCH("]",G247))</x:f>
        <x:v>[9보04-05]</x:v>
      </x:c>
      <x:c r="C247" s="5" t="str">
        <x:f>MID(G247,SEARCH("]",G247)+1,200)</x:f>
        <x:v>응급의료체계의 활용 방안을 탐색하고 심폐소생술과 자동심장충격기의 원리와 사용법을 익혀협력적으로 바르게 적용한다.</x:v>
      </x:c>
      <x:c r="D247" s="1"/>
      <x:c r="E247" s="1"/>
      <x:c r="F247" s="1"/>
      <x:c r="G247" s="3" t="s">
        <x:v>1938</x:v>
      </x:c>
      <x:c r="H247" s="1"/>
      <x:c r="I247" s="1"/>
      <x:c r="J247" s="1"/>
      <x:c r="K247" s="3"/>
      <x:c r="L247" s="3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</x:row>
    <x:row r="248" spans="1:23" ht="32.75">
      <x:c r="A248" t="s">
        <x:v>43</x:v>
      </x:c>
      <x:c r="B248" s="6" t="str">
        <x:f>LEFT(G248,SEARCH("]",G248))</x:f>
        <x:v>[9보05-01]</x:v>
      </x:c>
      <x:c r="C248" s="5" t="str">
        <x:f>MID(G248,SEARCH("]",G248)+1,200)</x:f>
        <x:v>건강권 발전을 위한 노력과 건강자원을 탐색하여 공동체의 건강권 향상을 위한 활동에 관심을가지고 참여한다.</x:v>
      </x:c>
      <x:c r="D248" s="1"/>
      <x:c r="E248" s="1"/>
      <x:c r="F248" s="1"/>
      <x:c r="G248" s="3" t="s">
        <x:v>532</x:v>
      </x:c>
      <x:c r="H248" s="1"/>
      <x:c r="I248" s="1"/>
      <x:c r="J248" s="1"/>
      <x:c r="K248" s="3"/>
      <x:c r="L248" s="3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</x:row>
    <x:row r="249" spans="1:23" ht="32.75">
      <x:c r="A249" t="s">
        <x:v>43</x:v>
      </x:c>
      <x:c r="B249" s="6" t="str">
        <x:f>LEFT(G249,SEARCH("]",G249))</x:f>
        <x:v>[9보05-02]</x:v>
      </x:c>
      <x:c r="C249" s="5" t="str">
        <x:f>MID(G249,SEARCH("]",G249)+1,200)</x:f>
        <x:v>디지털⋅인공지능 시대에 따른 보건의료서비스와 건강정보를 포함한 건강자원의 변화를 알아보고 건강에 유익하게 활용하며 개선방안을 탐색한다.</x:v>
      </x:c>
      <x:c r="D249" s="1"/>
      <x:c r="E249" s="1"/>
      <x:c r="F249" s="1"/>
      <x:c r="G249" s="3" t="s">
        <x:v>273</x:v>
      </x:c>
      <x:c r="H249" s="1"/>
      <x:c r="I249" s="1"/>
      <x:c r="J249" s="1"/>
      <x:c r="K249" s="3"/>
      <x:c r="L249" s="3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</x:row>
    <x:row r="250" spans="1:23" ht="32.75">
      <x:c r="A250" t="s">
        <x:v>43</x:v>
      </x:c>
      <x:c r="B250" s="6" t="str">
        <x:f>LEFT(G250,SEARCH("]",G250))</x:f>
        <x:v>[9보05-03]</x:v>
      </x:c>
      <x:c r="C250" s="5" t="str">
        <x:f>MID(G250,SEARCH("]",G250)+1,200)</x:f>
        <x:v>기후변화와 건강의 관계를 탐색하고,지속가능한 사회를 위한 개인과 공동체의 건강옹호활동을 탐구하고 실천한다.</x:v>
      </x:c>
      <x:c r="D250" s="1"/>
      <x:c r="E250" s="1"/>
      <x:c r="F250" s="1"/>
      <x:c r="G250" s="3" t="s">
        <x:v>1929</x:v>
      </x:c>
      <x:c r="H250" s="1"/>
      <x:c r="I250" s="1"/>
      <x:c r="J250" s="1"/>
      <x:c r="K250" s="3"/>
      <x:c r="L250" s="3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</x:row>
    <x:row r="251" spans="1:23" ht="32.75">
      <x:c r="A251" t="s">
        <x:v>43</x:v>
      </x:c>
      <x:c r="B251" s="6" t="str">
        <x:f>LEFT(G251,SEARCH("]",G251))</x:f>
        <x:v>[9보05-04]</x:v>
      </x:c>
      <x:c r="C251" s="5" t="str">
        <x:f>MID(G251,SEARCH("]",G251)+1,200)</x:f>
        <x:v>건강 신념과 규범⋅관행 및 미디어 등이 건강에 미치는 영향을 탐색하고 건강하게 개선하려는태도를 발전시켜 건강관리와 건강문제 해결에 적용한다.</x:v>
      </x:c>
      <x:c r="D251" s="3"/>
      <x:c r="E251" s="3"/>
      <x:c r="F251" s="3"/>
      <x:c r="G251" s="3" t="s">
        <x:v>272</x:v>
      </x:c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</x:row>
    <x:row r="252" spans="1:23">
      <x:c r="A252" t="s">
        <x:v>43</x:v>
      </x:c>
      <x:c r="B252" s="6" t="str">
        <x:f>LEFT(G252,SEARCH("]",G252))</x:f>
        <x:v>[9보05-05]</x:v>
      </x:c>
      <x:c r="C252" s="5" t="str">
        <x:f>MID(G252,SEARCH("]",G252)+1,200)</x:f>
        <x:v>다양성 존중과 사회적 소수자 배려를 포함하여 건강지향적 문화와 환경을 지지⋅옹호한다.</x:v>
      </x:c>
      <x:c r="D252" s="3"/>
      <x:c r="E252" s="3"/>
      <x:c r="F252" s="3"/>
      <x:c r="G252" s="3" t="s">
        <x:v>101</x:v>
      </x:c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</x:row>
    <x:row r="253" spans="1:23" ht="32.75">
      <x:c r="A253" t="s">
        <x:v>33</x:v>
      </x:c>
      <x:c r="B253" s="6" t="str">
        <x:f>LEFT(G253,SEARCH("]",G253))</x:f>
        <x:v>[9사(일사)01-01]</x:v>
      </x:c>
      <x:c r="C253" s="5" t="str">
        <x:f>MID(G253,SEARCH("]",G253)+1,200)</x:f>
        <x:v>사회화의 의미를 일상생활의 사례를 들어 설명하고,사회화 과정에서 형성되는 자아정체성에 대해 성찰한다.</x:v>
      </x:c>
      <x:c r="D253" s="3"/>
      <x:c r="E253" s="3"/>
      <x:c r="F253" s="3"/>
      <x:c r="G253" s="3" t="s">
        <x:v>1939</x:v>
      </x:c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</x:row>
    <x:row r="254" spans="1:23" ht="32.75">
      <x:c r="A254" t="s">
        <x:v>33</x:v>
      </x:c>
      <x:c r="B254" s="6" t="str">
        <x:f>LEFT(G254,SEARCH("]",G254))</x:f>
        <x:v>[9사(일사)01-02]</x:v>
      </x:c>
      <x:c r="C254" s="5" t="str">
        <x:f>MID(G254,SEARCH("]",G254)+1,200)</x:f>
        <x:v>사회적 지위와 역할의 의미를 설명하고,일상생활에서 나타나는 역할 갈등 사례와대응 방안을 탐색한다.</x:v>
      </x:c>
      <x:c r="D254" s="3"/>
      <x:c r="E254" s="3"/>
      <x:c r="F254" s="3"/>
      <x:c r="G254" s="3" t="s">
        <x:v>535</x:v>
      </x:c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</x:row>
    <x:row r="255" spans="1:23" ht="32.75">
      <x:c r="A255" t="s">
        <x:v>33</x:v>
      </x:c>
      <x:c r="B255" s="6" t="str">
        <x:f>LEFT(G255,SEARCH("]",G255))</x:f>
        <x:v>[9사(일사)01-03]</x:v>
      </x:c>
      <x:c r="C255" s="5" t="str">
        <x:f>MID(G255,SEARCH("]",G255)+1,200)</x:f>
        <x:v>우리사회에 나타나는 다양한 갈등과 차별의 사례를 조사하고,이에 대처하는 시민의 자질에 대해 토의한다.</x:v>
      </x:c>
      <x:c r="D255" s="1"/>
      <x:c r="E255" s="1"/>
      <x:c r="F255" s="1"/>
      <x:c r="G255" s="3" t="s">
        <x:v>1946</x:v>
      </x:c>
      <x:c r="H255" s="1"/>
      <x:c r="I255" s="1"/>
      <x:c r="J255" s="1"/>
      <x:c r="K255" s="3"/>
      <x:c r="L255" s="3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</x:row>
    <x:row r="256" spans="1:23">
      <x:c r="A256" t="s">
        <x:v>33</x:v>
      </x:c>
      <x:c r="B256" s="6" t="str">
        <x:f>LEFT(G256,SEARCH("]",G256))</x:f>
        <x:v>[9사(일사)02-01]</x:v>
      </x:c>
      <x:c r="C256" s="5" t="str">
        <x:f>MID(G256,SEARCH("]",G256)+1,200)</x:f>
        <x:v>일상생활에서 접하는 문화의 사례를 탐색하고,이를 바탕으로 문화의 의미와 특징을도출한다.</x:v>
      </x:c>
      <x:c r="D256" s="1"/>
      <x:c r="E256" s="1"/>
      <x:c r="F256" s="1"/>
      <x:c r="G256" s="3" t="s">
        <x:v>187</x:v>
      </x:c>
      <x:c r="H256" s="1"/>
      <x:c r="I256" s="1"/>
      <x:c r="J256" s="1"/>
      <x:c r="K256" s="3"/>
      <x:c r="L256" s="3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</x:row>
    <x:row r="257" spans="1:23" ht="32.75">
      <x:c r="A257" t="s">
        <x:v>33</x:v>
      </x:c>
      <x:c r="B257" s="6" t="str">
        <x:f>LEFT(G257,SEARCH("]",G257))</x:f>
        <x:v>[9사(일사)02-02]</x:v>
      </x:c>
      <x:c r="C257" s="5" t="str">
        <x:f>MID(G257,SEARCH("]",G257)+1,200)</x:f>
        <x:v>우리 주변에서 활용되는 미디어들을 탐색하고,미디어를 통해 경험하는 다양한 문화와 정보들을 비판적으로 검토한다.</x:v>
      </x:c>
      <x:c r="D257" s="1"/>
      <x:c r="E257" s="1"/>
      <x:c r="F257" s="1"/>
      <x:c r="G257" s="3" t="s">
        <x:v>1968</x:v>
      </x:c>
      <x:c r="H257" s="1"/>
      <x:c r="I257" s="1"/>
      <x:c r="J257" s="1"/>
      <x:c r="K257" s="3"/>
      <x:c r="L257" s="3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</x:row>
    <x:row r="258" spans="1:23" ht="32.75">
      <x:c r="A258" t="s">
        <x:v>33</x:v>
      </x:c>
      <x:c r="B258" s="6" t="str">
        <x:f>LEFT(G258,SEARCH("]",G258))</x:f>
        <x:v>[9사(일사)02-03]</x:v>
      </x:c>
      <x:c r="C258" s="5" t="str">
        <x:f>MID(G258,SEARCH("]",G258)+1,200)</x:f>
        <x:v>여러 집단에서 나타나는 다양한 문화 사례들을 조사하고,문화를 이해하는 바람직한태도에 대하여 토의한다.</x:v>
      </x:c>
      <x:c r="D258" s="3"/>
      <x:c r="E258" s="3"/>
      <x:c r="F258" s="3"/>
      <x:c r="G258" s="3" t="s">
        <x:v>1937</x:v>
      </x:c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</x:row>
    <x:row r="259" spans="1:23" ht="32.75">
      <x:c r="A259" t="s">
        <x:v>33</x:v>
      </x:c>
      <x:c r="B259" s="6" t="str">
        <x:f>LEFT(G259,SEARCH("]",G259))</x:f>
        <x:v>[9사(일사)03-01]</x:v>
      </x:c>
      <x:c r="C259" s="5" t="str">
        <x:f>MID(G259,SEARCH("]",G259)+1,200)</x:f>
        <x:v>공동체 생활에 필요한 정치의 역할을 탐색하고,다양한 정치 사례를 통해 민주주의의의미와 필요성을 도출한다.</x:v>
      </x:c>
      <x:c r="D259" s="3"/>
      <x:c r="E259" s="3"/>
      <x:c r="F259" s="3"/>
      <x:c r="G259" s="3" t="s">
        <x:v>1944</x:v>
      </x:c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</x:row>
    <x:row r="260" spans="1:23">
      <x:c r="A260" t="s">
        <x:v>33</x:v>
      </x:c>
      <x:c r="B260" s="6" t="str">
        <x:f>LEFT(G260,SEARCH("]",G260))</x:f>
        <x:v>[9사(일사)03-02]</x:v>
      </x:c>
      <x:c r="C260" s="5" t="str">
        <x:f>MID(G260,SEARCH("]",G260)+1,200)</x:f>
        <x:v>민주주의의 발전 과정을 검토하고,이를 토대로 민주주의의 이념과 기본 원리를 도출한다.</x:v>
      </x:c>
      <x:c r="D260" s="3"/>
      <x:c r="E260" s="3"/>
      <x:c r="F260" s="3"/>
      <x:c r="G260" s="3" t="s">
        <x:v>2021</x:v>
      </x:c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</x:row>
    <x:row r="261" spans="1:23" ht="32.75">
      <x:c r="A261" t="s">
        <x:v>33</x:v>
      </x:c>
      <x:c r="B261" s="6" t="str">
        <x:f>LEFT(G261,SEARCH("]",G261))</x:f>
        <x:v>[9사(일사)03-03]</x:v>
      </x:c>
      <x:c r="C261" s="5" t="str">
        <x:f>MID(G261,SEARCH("]",G261)+1,200)</x:f>
        <x:v>현대 민주주의의 특징과 과제를 검토하고,우리나라 민주주의의 발전을 위한 제도적방안과 시민의 역할에 대해 토의한다.</x:v>
      </x:c>
      <x:c r="D261" s="3"/>
      <x:c r="E261" s="3"/>
      <x:c r="F261" s="3"/>
      <x:c r="G261" s="3" t="s">
        <x:v>1900</x:v>
      </x:c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</x:row>
    <x:row r="262" spans="1:23" ht="32.75">
      <x:c r="A262" t="s">
        <x:v>33</x:v>
      </x:c>
      <x:c r="B262" s="6" t="str">
        <x:f>LEFT(G262,SEARCH("]",G262))</x:f>
        <x:v>[9사(일사)04-01]</x:v>
      </x:c>
      <x:c r="C262" s="5" t="str">
        <x:f>MID(G262,SEARCH("]",G262)+1,200)</x:f>
        <x:v>선거의 기능과 기본 원칙을 검토하고,선거 과정에서 유권자와 정당이 수행하는 활동을 조사한다.</x:v>
      </x:c>
      <x:c r="D262" s="1"/>
      <x:c r="E262" s="1"/>
      <x:c r="F262" s="1"/>
      <x:c r="G262" s="3" t="s">
        <x:v>549</x:v>
      </x:c>
      <x:c r="H262" s="1"/>
      <x:c r="I262" s="1"/>
      <x:c r="J262" s="1"/>
      <x:c r="K262" s="3"/>
      <x:c r="L262" s="3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</x:row>
    <x:row r="263" spans="1:23">
      <x:c r="A263" t="s">
        <x:v>33</x:v>
      </x:c>
      <x:c r="B263" s="6" t="str">
        <x:f>LEFT(G263,SEARCH("]",G263))</x:f>
        <x:v>[9사(일사)04-02]</x:v>
      </x:c>
      <x:c r="C263" s="5" t="str">
        <x:f>MID(G263,SEARCH("]",G263)+1,200)</x:f>
        <x:v>정치활동에 참여하는 다양한 정치 주체의 역할을 탐색하고,정치과정의 의미를 설명한다.</x:v>
      </x:c>
      <x:c r="D263" s="1"/>
      <x:c r="E263" s="1"/>
      <x:c r="F263" s="1"/>
      <x:c r="G263" s="3" t="s">
        <x:v>102</x:v>
      </x:c>
      <x:c r="H263" s="1"/>
      <x:c r="I263" s="1"/>
      <x:c r="J263" s="1"/>
      <x:c r="K263" s="3"/>
      <x:c r="L263" s="3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</x:row>
    <x:row r="264" spans="1:23" ht="32.75">
      <x:c r="A264" t="s">
        <x:v>33</x:v>
      </x:c>
      <x:c r="B264" s="6" t="str">
        <x:f>LEFT(G264,SEARCH("]",G264))</x:f>
        <x:v>[9사(일사)04-03]</x:v>
      </x:c>
      <x:c r="C264" s="5" t="str">
        <x:f>MID(G264,SEARCH("]",G264)+1,200)</x:f>
        <x:v>민주주의의 발전을 위한 지방 자치의 중요성을 설명하고,지역사회의 문제를 해결하기 위한 시민 참여 활동을 계획한다.</x:v>
      </x:c>
      <x:c r="D264" s="1"/>
      <x:c r="E264" s="1"/>
      <x:c r="F264" s="1"/>
      <x:c r="G264" s="3" t="s">
        <x:v>1911</x:v>
      </x:c>
      <x:c r="H264" s="1"/>
      <x:c r="I264" s="1"/>
      <x:c r="J264" s="1"/>
      <x:c r="K264" s="3"/>
      <x:c r="L264" s="3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</x:row>
    <x:row r="265" spans="1:23">
      <x:c r="A265" t="s">
        <x:v>33</x:v>
      </x:c>
      <x:c r="B265" s="6" t="str">
        <x:f>LEFT(G265,SEARCH("]",G265))</x:f>
        <x:v>[9사(일사)05-01]</x:v>
      </x:c>
      <x:c r="C265" s="5" t="str">
        <x:f>MID(G265,SEARCH("]",G265)+1,200)</x:f>
        <x:v>법의 의미와 특징을 설명하고,일상생활에서 접하는 법의 사례를 통해 법의 목적을 도출한다.</x:v>
      </x:c>
      <x:c r="D265" s="3"/>
      <x:c r="E265" s="3"/>
      <x:c r="F265" s="3"/>
      <x:c r="G265" s="3" t="s">
        <x:v>2019</x:v>
      </x:c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</x:row>
    <x:row r="266" spans="1:23" ht="32.75">
      <x:c r="A266" t="s">
        <x:v>33</x:v>
      </x:c>
      <x:c r="B266" s="6" t="str">
        <x:f>LEFT(G266,SEARCH("]",G266))</x:f>
        <x:v>[9사(일사)05-02]</x:v>
      </x:c>
      <x:c r="C266" s="5" t="str">
        <x:f>MID(G266,SEARCH("]",G266)+1,200)</x:f>
        <x:v>우리의 일상을 규율하는 다양한 법을 탐색하고,국내외 사례를 통해 사회법이 필요한이유에 대해 토의한다.</x:v>
      </x:c>
      <x:c r="D266" s="3"/>
      <x:c r="E266" s="3"/>
      <x:c r="F266" s="3"/>
      <x:c r="G266" s="3" t="s">
        <x:v>1949</x:v>
      </x:c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</x:row>
    <x:row r="267" spans="1:23">
      <x:c r="A267" t="s">
        <x:v>33</x:v>
      </x:c>
      <x:c r="B267" s="6" t="str">
        <x:f>LEFT(G267,SEARCH("]",G267))</x:f>
        <x:v>[9사(일사)05-03]</x:v>
      </x:c>
      <x:c r="C267" s="5" t="str">
        <x:f>MID(G267,SEARCH("]",G267)+1,200)</x:f>
        <x:v>재판의 의미와 종류를 설명하고,공정한 재판의 중요성에 대해 토의한다.</x:v>
      </x:c>
      <x:c r="D267" s="3"/>
      <x:c r="E267" s="3"/>
      <x:c r="F267" s="3"/>
      <x:c r="G267" s="3" t="s">
        <x:v>1878</x:v>
      </x:c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</x:row>
    <x:row r="268" spans="1:23">
      <x:c r="A268" t="s">
        <x:v>33</x:v>
      </x:c>
      <x:c r="B268" s="6" t="str">
        <x:f>LEFT(G268,SEARCH("]",G268))</x:f>
        <x:v>[9사(일사)06-01]</x:v>
      </x:c>
      <x:c r="C268" s="5" t="str">
        <x:f>MID(G268,SEARCH("]",G268)+1,200)</x:f>
        <x:v>일상생활에서 인권이 침해되는 사례를 조사하고,우리 헌법에 보장된 기본권의종류를 탐색한다.</x:v>
      </x:c>
      <x:c r="D268" s="3"/>
      <x:c r="E268" s="3"/>
      <x:c r="F268" s="3"/>
      <x:c r="G268" s="3" t="s">
        <x:v>2015</x:v>
      </x:c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</x:row>
    <x:row r="269" spans="1:23" ht="32.75">
      <x:c r="A269" t="s">
        <x:v>33</x:v>
      </x:c>
      <x:c r="B269" s="6" t="str">
        <x:f>LEFT(G269,SEARCH("]",G269))</x:f>
        <x:v>[9사(일사)06-02]</x:v>
      </x:c>
      <x:c r="C269" s="5" t="str">
        <x:f>MID(G269,SEARCH("]",G269)+1,200)</x:f>
        <x:v>기본권 제한의 요건과 한계가 헌법에 명시된 이유를 토의하고,기본권 침해 시 구제방법을 조사한다.</x:v>
      </x:c>
      <x:c r="D269" s="3"/>
      <x:c r="E269" s="3"/>
      <x:c r="F269" s="3"/>
      <x:c r="G269" s="3" t="s">
        <x:v>552</x:v>
      </x:c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</x:row>
    <x:row r="270" spans="1:23" ht="32.75">
      <x:c r="A270" t="s">
        <x:v>33</x:v>
      </x:c>
      <x:c r="B270" s="6" t="str">
        <x:f>LEFT(G270,SEARCH("]",G270))</x:f>
        <x:v>[9사(일사)06-03]</x:v>
      </x:c>
      <x:c r="C270" s="5" t="str">
        <x:f>MID(G270,SEARCH("]",G270)+1,200)</x:f>
        <x:v>근로자에게 보장되는 권리를 조사하고,이러한 권리의 침해에 대처하는 국가와시민의 노력에 대해 토의한다.</x:v>
      </x:c>
      <x:c r="D270" s="3"/>
      <x:c r="E270" s="3"/>
      <x:c r="F270" s="3"/>
      <x:c r="G270" s="3" t="s">
        <x:v>1950</x:v>
      </x:c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</x:row>
    <x:row r="271" spans="1:23">
      <x:c r="A271" t="s">
        <x:v>33</x:v>
      </x:c>
      <x:c r="B271" s="6" t="str">
        <x:f>LEFT(G271,SEARCH("]",G271))</x:f>
        <x:v>[9사(일사)07-01]</x:v>
      </x:c>
      <x:c r="C271" s="5" t="str">
        <x:f>MID(G271,SEARCH("]",G271)+1,200)</x:f>
        <x:v>우리나라의 정부 형태를 설명하고,대통령과 행정부의 역할을 탐색한다.</x:v>
      </x:c>
      <x:c r="D271" s="3"/>
      <x:c r="E271" s="3"/>
      <x:c r="F271" s="3"/>
      <x:c r="G271" s="3" t="s">
        <x:v>1882</x:v>
      </x:c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</x:row>
    <x:row r="272" spans="1:23">
      <x:c r="A272" t="s">
        <x:v>33</x:v>
      </x:c>
      <x:c r="B272" s="6" t="str">
        <x:f>LEFT(G272,SEARCH("]",G272))</x:f>
        <x:v>[9사(일사)07-02]</x:v>
      </x:c>
      <x:c r="C272" s="5" t="str">
        <x:f>MID(G272,SEARCH("]",G272)+1,200)</x:f>
        <x:v>국회에서 법률이 만들어지는 사례를 탐색하고,입법기관으로서 국회의 역할을 조사한다.</x:v>
      </x:c>
      <x:c r="D272" s="3"/>
      <x:c r="E272" s="3"/>
      <x:c r="F272" s="3"/>
      <x:c r="G272" s="3" t="s">
        <x:v>84</x:v>
      </x:c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</x:row>
    <x:row r="273" spans="1:23">
      <x:c r="A273" t="s">
        <x:v>33</x:v>
      </x:c>
      <x:c r="B273" s="6" t="str">
        <x:f>LEFT(G273,SEARCH("]",G273))</x:f>
        <x:v>[9사(일사)07-03]</x:v>
      </x:c>
      <x:c r="C273" s="5" t="str">
        <x:f>MID(G273,SEARCH("]",G273)+1,200)</x:f>
        <x:v>사법기관으로서 법원의 역할을 검토하고,헌법재판소의 성격에 대해 토의한다.</x:v>
      </x:c>
      <x:c r="D273" s="3"/>
      <x:c r="E273" s="3"/>
      <x:c r="F273" s="3"/>
      <x:c r="G273" s="3" t="s">
        <x:v>2069</x:v>
      </x:c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</x:row>
    <x:row r="274" spans="1:23" ht="32.75">
      <x:c r="A274" t="s">
        <x:v>33</x:v>
      </x:c>
      <x:c r="B274" s="6" t="str">
        <x:f>LEFT(G274,SEARCH("]",G274))</x:f>
        <x:v>[9사(일사)08-01]</x:v>
      </x:c>
      <x:c r="C274" s="5" t="str">
        <x:f>MID(G274,SEARCH("]",G274)+1,200)</x:f>
        <x:v>경제생활에서 합리적 선택의 필요성에 대해 검토하고,비용과 편익을 고려한 합리적선택 방안을 탐색한다.</x:v>
      </x:c>
      <x:c r="D274" s="1"/>
      <x:c r="E274" s="1"/>
      <x:c r="F274" s="1"/>
      <x:c r="G274" s="3" t="s">
        <x:v>1931</x:v>
      </x:c>
      <x:c r="H274" s="1"/>
      <x:c r="I274" s="1"/>
      <x:c r="J274" s="1"/>
      <x:c r="K274" s="3"/>
      <x:c r="L274" s="3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</x:row>
    <x:row r="275" spans="1:23" ht="32.75">
      <x:c r="A275" t="s">
        <x:v>33</x:v>
      </x:c>
      <x:c r="B275" s="6" t="str">
        <x:f>LEFT(G275,SEARCH("]",G275))</x:f>
        <x:v>[9사(일사)08-02]</x:v>
      </x:c>
      <x:c r="C275" s="5" t="str">
        <x:f>MID(G275,SEARCH("]",G275)+1,200)</x:f>
        <x:v>일생 동안 이루어지는 경제생활을 분석하고,안정적인 금융 생활을 위한 자산 및신용 관리 방안을 계획한다.</x:v>
      </x:c>
      <x:c r="D275" s="1"/>
      <x:c r="E275" s="1"/>
      <x:c r="F275" s="1"/>
      <x:c r="G275" s="3" t="s">
        <x:v>1940</x:v>
      </x:c>
      <x:c r="H275" s="1"/>
      <x:c r="I275" s="1"/>
      <x:c r="J275" s="1"/>
      <x:c r="K275" s="3"/>
      <x:c r="L275" s="3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</x:row>
    <x:row r="276" spans="1:23" ht="32.75">
      <x:c r="A276" t="s">
        <x:v>33</x:v>
      </x:c>
      <x:c r="B276" s="6" t="str">
        <x:f>LEFT(G276,SEARCH("]",G276))</x:f>
        <x:v>[9사(일사)08-03]</x:v>
      </x:c>
      <x:c r="C276" s="5" t="str">
        <x:f>MID(G276,SEARCH("]",G276)+1,200)</x:f>
        <x:v>시장경제에서 기업의 역할과 사회적 책임을 설명하고,우리 사회에 필요한 기업가정신에 대해 토의한다.</x:v>
      </x:c>
      <x:c r="D276" s="1"/>
      <x:c r="E276" s="1"/>
      <x:c r="F276" s="1"/>
      <x:c r="G276" s="3" t="s">
        <x:v>553</x:v>
      </x:c>
      <x:c r="H276" s="1"/>
      <x:c r="I276" s="1"/>
      <x:c r="J276" s="1"/>
      <x:c r="K276" s="3"/>
      <x:c r="L276" s="3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</x:row>
    <x:row r="277" spans="1:23" ht="32.75">
      <x:c r="A277" t="s">
        <x:v>33</x:v>
      </x:c>
      <x:c r="B277" s="6" t="str">
        <x:f>LEFT(G277,SEARCH("]",G277))</x:f>
        <x:v>[9사(일사)09-01]</x:v>
      </x:c>
      <x:c r="C277" s="5" t="str">
        <x:f>MID(G277,SEARCH("]",G277)+1,200)</x:f>
        <x:v>일상생활에서 접하는 다양한 시장의 사례를 조사하고,이를 토대로 시장의 의미와필요성을 설명한다.</x:v>
      </x:c>
      <x:c r="D277" s="1"/>
      <x:c r="E277" s="1"/>
      <x:c r="F277" s="1"/>
      <x:c r="G277" s="3" t="s">
        <x:v>548</x:v>
      </x:c>
      <x:c r="H277" s="1"/>
      <x:c r="I277" s="1"/>
      <x:c r="J277" s="1"/>
      <x:c r="K277" s="3"/>
      <x:c r="L277" s="3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</x:row>
    <x:row r="278" spans="1:23" ht="32.75">
      <x:c r="A278" t="s">
        <x:v>33</x:v>
      </x:c>
      <x:c r="B278" s="6" t="str">
        <x:f>LEFT(G278,SEARCH("]",G278))</x:f>
        <x:v>[9사(일사)09-02]</x:v>
      </x:c>
      <x:c r="C278" s="5" t="str">
        <x:f>MID(G278,SEARCH("]",G278)+1,200)</x:f>
        <x:v>수요 법칙과 공급 법칙을 사례를 통해 도출하고,이를 토대로 시장 가격이 결정되는원리를 설명한다.</x:v>
      </x:c>
      <x:c r="D278" s="1"/>
      <x:c r="E278" s="1"/>
      <x:c r="F278" s="1"/>
      <x:c r="G278" s="3" t="s">
        <x:v>561</x:v>
      </x:c>
      <x:c r="H278" s="1"/>
      <x:c r="I278" s="1"/>
      <x:c r="J278" s="1"/>
      <x:c r="K278" s="3"/>
      <x:c r="L278" s="3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</x:row>
    <x:row r="279" spans="1:23" ht="32.75">
      <x:c r="A279" t="s">
        <x:v>33</x:v>
      </x:c>
      <x:c r="B279" s="6" t="str">
        <x:f>LEFT(G279,SEARCH("]",G279))</x:f>
        <x:v>[9사(일사)09-03]</x:v>
      </x:c>
      <x:c r="C279" s="5" t="str">
        <x:f>MID(G279,SEARCH("]",G279)+1,200)</x:f>
        <x:v>시장경제에서 수요와 공급을 변화시키는 요인을 조사하고,시장 가격의 변동에 대응하는 방안을 계획한다.</x:v>
      </x:c>
      <x:c r="D279" s="1"/>
      <x:c r="E279" s="1"/>
      <x:c r="F279" s="1"/>
      <x:c r="G279" s="3" t="s">
        <x:v>1935</x:v>
      </x:c>
      <x:c r="H279" s="1"/>
      <x:c r="I279" s="1"/>
      <x:c r="J279" s="1"/>
      <x:c r="K279" s="3"/>
      <x:c r="L279" s="3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</x:row>
    <x:row r="280" spans="1:23" ht="32.75">
      <x:c r="A280" t="s">
        <x:v>33</x:v>
      </x:c>
      <x:c r="B280" s="6" t="str">
        <x:f>LEFT(G280,SEARCH("]",G280))</x:f>
        <x:v>[9사(일사)10-01]</x:v>
      </x:c>
      <x:c r="C280" s="5" t="str">
        <x:f>MID(G280,SEARCH("]",G280)+1,200)</x:f>
        <x:v>우리나라의 경제 성장 전후 모습을 검토하고,국내 총생산의 증가가 우리 생활에미치는 영향에 대해 토의한다.</x:v>
      </x:c>
      <x:c r="D280" s="1"/>
      <x:c r="E280" s="1"/>
      <x:c r="F280" s="1"/>
      <x:c r="G280" s="3" t="s">
        <x:v>1930</x:v>
      </x:c>
      <x:c r="H280" s="1"/>
      <x:c r="I280" s="1"/>
      <x:c r="J280" s="1"/>
      <x:c r="K280" s="3"/>
      <x:c r="L280" s="3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</x:row>
    <x:row r="281" spans="1:23">
      <x:c r="A281" t="s">
        <x:v>33</x:v>
      </x:c>
      <x:c r="B281" s="6" t="str">
        <x:f>LEFT(G281,SEARCH("]",G281))</x:f>
        <x:v>[9사(일사)10-02]</x:v>
      </x:c>
      <x:c r="C281" s="5" t="str">
        <x:f>MID(G281,SEARCH("]",G281)+1,200)</x:f>
        <x:v>물가 변동과 실업의 사례를 탐색하고 물가 변동과 실업이 우리 생활에 미치는 영향을제시한다.</x:v>
      </x:c>
      <x:c r="D281" s="1"/>
      <x:c r="E281" s="1"/>
      <x:c r="F281" s="1"/>
      <x:c r="G281" s="3" t="s">
        <x:v>2010</x:v>
      </x:c>
      <x:c r="H281" s="1"/>
      <x:c r="I281" s="1"/>
      <x:c r="J281" s="1"/>
      <x:c r="K281" s="3"/>
      <x:c r="L281" s="3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</x:row>
    <x:row r="282" spans="1:23" ht="32.75">
      <x:c r="A282" t="s">
        <x:v>33</x:v>
      </x:c>
      <x:c r="B282" s="6" t="str">
        <x:f>LEFT(G282,SEARCH("]",G282))</x:f>
        <x:v>[9사(일사)10-03]</x:v>
      </x:c>
      <x:c r="C282" s="5" t="str">
        <x:f>MID(G282,SEARCH("]",G282)+1,200)</x:f>
        <x:v>세계화 시대에 국제 거래가 이루어지는 사례를 탐색하고,환율 변동이 우리 생활에 미치는 영향을 조사한다.</x:v>
      </x:c>
      <x:c r="D282" s="1"/>
      <x:c r="E282" s="1"/>
      <x:c r="F282" s="1"/>
      <x:c r="G282" s="3" t="s">
        <x:v>1941</x:v>
      </x:c>
      <x:c r="H282" s="1"/>
      <x:c r="I282" s="1"/>
      <x:c r="J282" s="1"/>
      <x:c r="K282" s="3"/>
      <x:c r="L282" s="3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</x:row>
    <x:row r="283" spans="1:23" ht="32.75">
      <x:c r="A283" t="s">
        <x:v>33</x:v>
      </x:c>
      <x:c r="B283" s="6" t="str">
        <x:f>LEFT(G283,SEARCH("]",G283))</x:f>
        <x:v>[9사(일사)11-01]</x:v>
      </x:c>
      <x:c r="C283" s="5" t="str">
        <x:f>MID(G283,SEARCH("]",G283)+1,200)</x:f>
        <x:v>국제 사회를 구성하는 여러 행위 주체의 활동을 조사하고,이를 토대로 국제 사회의특징을 도출한다.</x:v>
      </x:c>
      <x:c r="D283" s="1"/>
      <x:c r="E283" s="1"/>
      <x:c r="F283" s="1"/>
      <x:c r="G283" s="3" t="s">
        <x:v>556</x:v>
      </x:c>
      <x:c r="H283" s="1"/>
      <x:c r="I283" s="1"/>
      <x:c r="J283" s="1"/>
      <x:c r="K283" s="3"/>
      <x:c r="L283" s="3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</x:row>
    <x:row r="284" spans="1:23" ht="32.75">
      <x:c r="A284" t="s">
        <x:v>33</x:v>
      </x:c>
      <x:c r="B284" s="6" t="str">
        <x:f>LEFT(G284,SEARCH("]",G284))</x:f>
        <x:v>[9사(일사)11-02]</x:v>
      </x:c>
      <x:c r="C284" s="5" t="str">
        <x:f>MID(G284,SEARCH("]",G284)+1,200)</x:f>
        <x:v>국제 사회의 다양한 분쟁에 대해 조사하고,지역,국가,세계의 시민으로서 우리의역할에 대해 토의한다.</x:v>
      </x:c>
      <x:c r="D284" s="1"/>
      <x:c r="E284" s="1"/>
      <x:c r="F284" s="1"/>
      <x:c r="G284" s="3" t="s">
        <x:v>558</x:v>
      </x:c>
      <x:c r="H284" s="1"/>
      <x:c r="I284" s="1"/>
      <x:c r="J284" s="1"/>
      <x:c r="K284" s="3"/>
      <x:c r="L284" s="3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</x:row>
    <x:row r="285" spans="1:23" ht="32.75">
      <x:c r="A285" t="s">
        <x:v>33</x:v>
      </x:c>
      <x:c r="B285" s="6" t="str">
        <x:f>LEFT(G285,SEARCH("]",G285))</x:f>
        <x:v>[9사(일사)11-03]</x:v>
      </x:c>
      <x:c r="C285" s="5" t="str">
        <x:f>MID(G285,SEARCH("]",G285)+1,200)</x:f>
        <x:v>우리나라가 직면하고 있는 국제 문제에 대해 조사하고,이러한 문제에 대응하기 위한방안에 대해 토론한다.</x:v>
      </x:c>
      <x:c r="D285" s="1"/>
      <x:c r="E285" s="1"/>
      <x:c r="F285" s="1"/>
      <x:c r="G285" s="3" t="s">
        <x:v>1936</x:v>
      </x:c>
      <x:c r="H285" s="1"/>
      <x:c r="I285" s="1"/>
      <x:c r="J285" s="1"/>
      <x:c r="K285" s="3"/>
      <x:c r="L285" s="3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</x:row>
    <x:row r="286" spans="1:23" ht="32.75">
      <x:c r="A286" t="s">
        <x:v>33</x:v>
      </x:c>
      <x:c r="B286" s="6" t="str">
        <x:f>LEFT(G286,SEARCH("]",G286))</x:f>
        <x:v>[9사(일사)12-01]</x:v>
      </x:c>
      <x:c r="C286" s="5" t="str">
        <x:f>MID(G286,SEARCH("]",G286)+1,200)</x:f>
        <x:v>오늘날 우리 사회가 겪는 사회 변동에 대해 조사하고,이러한 사회 변동이 우리 생활에 미치는 영향을 분석한다.</x:v>
      </x:c>
      <x:c r="D286" s="1"/>
      <x:c r="E286" s="1"/>
      <x:c r="F286" s="1"/>
      <x:c r="G286" s="3" t="s">
        <x:v>1956</x:v>
      </x:c>
      <x:c r="H286" s="1"/>
      <x:c r="I286" s="1"/>
      <x:c r="J286" s="1"/>
      <x:c r="K286" s="3"/>
      <x:c r="L286" s="3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</x:row>
    <x:row r="287" spans="1:23" ht="32.75">
      <x:c r="A287" t="s">
        <x:v>33</x:v>
      </x:c>
      <x:c r="B287" s="6" t="str">
        <x:f>LEFT(G287,SEARCH("]",G287))</x:f>
        <x:v>[9사(일사)12-02]</x:v>
      </x:c>
      <x:c r="C287" s="5" t="str">
        <x:f>MID(G287,SEARCH("]",G287)+1,200)</x:f>
        <x:v>오늘날의 주요한 사회문제를 조사하고,이러한 사회문제가 우리 생활에 미치는영향에 대해 토의한다.</x:v>
      </x:c>
      <x:c r="D287" s="3"/>
      <x:c r="E287" s="3"/>
      <x:c r="F287" s="3"/>
      <x:c r="G287" s="3" t="s">
        <x:v>557</x:v>
      </x:c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</x:row>
    <x:row r="288" spans="1:23" ht="32.75">
      <x:c r="A288" t="s">
        <x:v>33</x:v>
      </x:c>
      <x:c r="B288" s="6" t="str">
        <x:f>LEFT(G288,SEARCH("]",G288))</x:f>
        <x:v>[9사(일사)12-03]</x:v>
      </x:c>
      <x:c r="C288" s="5" t="str">
        <x:f>MID(G288,SEARCH("]",G288)+1,200)</x:f>
        <x:v>사회 변동과 사회문제에 대응하는 국내외의 사례들을 검토하고,시민으로서 지녀야 할 태도와 실천 방안에 대해 토의한다.</x:v>
      </x:c>
      <x:c r="D288" s="3"/>
      <x:c r="E288" s="3"/>
      <x:c r="F288" s="3"/>
      <x:c r="G288" s="3" t="s">
        <x:v>1908</x:v>
      </x:c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</x:row>
    <x:row r="289" spans="1:23">
      <x:c r="A289" t="s">
        <x:v>33</x:v>
      </x:c>
      <x:c r="B289" s="6" t="str">
        <x:f>LEFT(G289,SEARCH("]",G289))</x:f>
        <x:v>[9사(지리)01-01]</x:v>
      </x:c>
      <x:c r="C289" s="5" t="str">
        <x:f>MID(G289,SEARCH("]",G289)+1,200)</x:f>
        <x:v>세계 여러 지역의 특성을 해당 지역의 위치와 자연⋅인문환경을 고려하여 추론한다.</x:v>
      </x:c>
      <x:c r="D289" s="3"/>
      <x:c r="E289" s="3"/>
      <x:c r="F289" s="3"/>
      <x:c r="G289" s="3" t="s">
        <x:v>112</x:v>
      </x:c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</x:row>
    <x:row r="290" spans="1:23">
      <x:c r="A290" t="s">
        <x:v>33</x:v>
      </x:c>
      <x:c r="B290" s="6" t="str">
        <x:f>LEFT(G290,SEARCH("]",G290))</x:f>
        <x:v>[9사(지리)01-02]</x:v>
      </x:c>
      <x:c r="C290" s="5" t="str">
        <x:f>MID(G290,SEARCH("]",G290)+1,200)</x:f>
        <x:v>다양한 스케일에서 지역이 서로 연계되어 있음을 공간적 상호 작용의 사례를 통해파악한다.</x:v>
      </x:c>
      <x:c r="D290" s="3"/>
      <x:c r="E290" s="3"/>
      <x:c r="F290" s="3"/>
      <x:c r="G290" s="3" t="s">
        <x:v>2016</x:v>
      </x:c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</x:row>
    <x:row r="291" spans="1:23">
      <x:c r="A291" t="s">
        <x:v>33</x:v>
      </x:c>
      <x:c r="B291" s="6" t="str">
        <x:f>LEFT(G291,SEARCH("]",G291))</x:f>
        <x:v>[9사(지리)01-03]</x:v>
      </x:c>
      <x:c r="C291" s="5" t="str">
        <x:f>MID(G291,SEARCH("]",G291)+1,200)</x:f>
        <x:v>세계의 변화가 지역에 영향을 미치고 지역의 변화가 세계에 영향을 미치는 사례를조사한다.</x:v>
      </x:c>
      <x:c r="D291" s="3"/>
      <x:c r="E291" s="3"/>
      <x:c r="F291" s="3"/>
      <x:c r="G291" s="3" t="s">
        <x:v>2011</x:v>
      </x:c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</x:row>
    <x:row r="292" spans="1:23" ht="32.75">
      <x:c r="A292" t="s">
        <x:v>33</x:v>
      </x:c>
      <x:c r="B292" s="6" t="str">
        <x:f>LEFT(G292,SEARCH("]",G292))</x:f>
        <x:v>[9사(지리)02-01]</x:v>
      </x:c>
      <x:c r="C292" s="5" t="str">
        <x:f>MID(G292,SEARCH("]",G292)+1,200)</x:f>
        <x:v>다양한 지리 정보와 매체를 활용하여 아시아의 국가와 주요 도시의 위치를 파악하고 자연환경의 특성을 지도로 표현한다.</x:v>
      </x:c>
      <x:c r="D292" s="3"/>
      <x:c r="E292" s="3"/>
      <x:c r="F292" s="3"/>
      <x:c r="G292" s="3" t="s">
        <x:v>1912</x:v>
      </x:c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</x:row>
    <x:row r="293" spans="1:23" ht="32.75">
      <x:c r="A293" t="s">
        <x:v>33</x:v>
      </x:c>
      <x:c r="B293" s="6" t="str">
        <x:f>LEFT(G293,SEARCH("]",G293))</x:f>
        <x:v>[9사(지리)02-02]</x:v>
      </x:c>
      <x:c r="C293" s="5" t="str">
        <x:f>MID(G293,SEARCH("]",G293)+1,200)</x:f>
        <x:v>종교와 관련된 아시아의 다양한 문화경관과 생활양식을 파악하고,세계시민으로서 문화다양성에 대한 이해와 수용성을 높인다.</x:v>
      </x:c>
      <x:c r="D293" s="3"/>
      <x:c r="E293" s="3"/>
      <x:c r="F293" s="3"/>
      <x:c r="G293" s="3" t="s">
        <x:v>1901</x:v>
      </x:c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</x:row>
    <x:row r="294" spans="1:23" ht="32.75">
      <x:c r="A294" t="s">
        <x:v>33</x:v>
      </x:c>
      <x:c r="B294" s="6" t="str">
        <x:f>LEFT(G294,SEARCH("]",G294))</x:f>
        <x:v>[9사(지리)02-03]</x:v>
      </x:c>
      <x:c r="C294" s="5" t="str">
        <x:f>MID(G294,SEARCH("]",G294)+1,200)</x:f>
        <x:v>아시아의 인구 특징을 파악하고 지역별 인구 구조 변화를 비교하여 지역 발전의 가능성및 변화 모습을 추론한다.</x:v>
      </x:c>
      <x:c r="D294" s="1"/>
      <x:c r="E294" s="1"/>
      <x:c r="F294" s="1"/>
      <x:c r="G294" s="3" t="s">
        <x:v>1967</x:v>
      </x:c>
      <x:c r="H294" s="1"/>
      <x:c r="I294" s="1"/>
      <x:c r="J294" s="1"/>
      <x:c r="K294" s="3"/>
      <x:c r="L294" s="3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</x:row>
    <x:row r="295" spans="1:23" ht="32.75">
      <x:c r="A295" t="s">
        <x:v>33</x:v>
      </x:c>
      <x:c r="B295" s="6" t="str">
        <x:f>LEFT(G295,SEARCH("]",G295))</x:f>
        <x:v>[9사(지리)02-04]</x:v>
      </x:c>
      <x:c r="C295" s="5" t="str">
        <x:f>MID(G295,SEARCH("]",G295)+1,200)</x:f>
        <x:v>글로컬 관점에서 아시아의 산업 특징과 변화를 파악하고,이것이 우리나라 산업에미치는 영향을 탐색한다.</x:v>
      </x:c>
      <x:c r="D295" s="1"/>
      <x:c r="E295" s="1"/>
      <x:c r="F295" s="1"/>
      <x:c r="G295" s="3" t="s">
        <x:v>1934</x:v>
      </x:c>
      <x:c r="H295" s="1"/>
      <x:c r="I295" s="1"/>
      <x:c r="J295" s="1"/>
      <x:c r="K295" s="3"/>
      <x:c r="L295" s="3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</x:row>
    <x:row r="296" spans="1:23" ht="32.75">
      <x:c r="A296" t="s">
        <x:v>33</x:v>
      </x:c>
      <x:c r="B296" s="6" t="str">
        <x:f>LEFT(G296,SEARCH("]",G296))</x:f>
        <x:v>[9사(지리)03-01]</x:v>
      </x:c>
      <x:c r="C296" s="5" t="str">
        <x:f>MID(G296,SEARCH("]",G296)+1,200)</x:f>
        <x:v>다양한 지리 정보와 매체를 활용하여 유럽의 국가와 주요 도시의 위치를 파악하고 자연환경의 특성을 지도로 표현한다.</x:v>
      </x:c>
      <x:c r="D296" s="1"/>
      <x:c r="E296" s="1"/>
      <x:c r="F296" s="1"/>
      <x:c r="G296" s="3" t="s">
        <x:v>1905</x:v>
      </x:c>
      <x:c r="H296" s="1"/>
      <x:c r="I296" s="1"/>
      <x:c r="J296" s="1"/>
      <x:c r="K296" s="3"/>
      <x:c r="L296" s="3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</x:row>
    <x:row r="297" spans="1:23" ht="32.75">
      <x:c r="A297" t="s">
        <x:v>33</x:v>
      </x:c>
      <x:c r="B297" s="6" t="str">
        <x:f>LEFT(G297,SEARCH("]",G297))</x:f>
        <x:v>[9사(지리)03-02]</x:v>
      </x:c>
      <x:c r="C297" s="5" t="str">
        <x:f>MID(G297,SEARCH("]",G297)+1,200)</x:f>
        <x:v>다양한 유형의 유럽 도시를 탐색하고,기후위기에 대응하여 지속가능한 도시를 만들기 위한 노력을 조사한다.</x:v>
      </x:c>
      <x:c r="D297" s="1"/>
      <x:c r="E297" s="1"/>
      <x:c r="F297" s="1"/>
      <x:c r="G297" s="3" t="s">
        <x:v>1947</x:v>
      </x:c>
      <x:c r="H297" s="1"/>
      <x:c r="I297" s="1"/>
      <x:c r="J297" s="1"/>
      <x:c r="K297" s="3"/>
      <x:c r="L297" s="3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</x:row>
    <x:row r="298" spans="1:23" ht="32.75">
      <x:c r="A298" t="s">
        <x:v>33</x:v>
      </x:c>
      <x:c r="B298" s="6" t="str">
        <x:f>LEFT(G298,SEARCH("]",G298))</x:f>
        <x:v>[9사(지리)03-03]</x:v>
      </x:c>
      <x:c r="C298" s="5" t="str">
        <x:f>MID(G298,SEARCH("]",G298)+1,200)</x:f>
        <x:v>지역 간 역학관계에 따른 유럽의 통합과 분리의 움직임이 유럽연합의 변화와 주민 생활에 미치는 영향을 탐색한다.</x:v>
      </x:c>
      <x:c r="D298" s="1"/>
      <x:c r="E298" s="1"/>
      <x:c r="F298" s="1"/>
      <x:c r="G298" s="3" t="s">
        <x:v>1964</x:v>
      </x:c>
      <x:c r="H298" s="1"/>
      <x:c r="I298" s="1"/>
      <x:c r="J298" s="1"/>
      <x:c r="K298" s="3"/>
      <x:c r="L298" s="3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</x:row>
    <x:row r="299" spans="1:23" ht="32.75">
      <x:c r="A299" t="s">
        <x:v>33</x:v>
      </x:c>
      <x:c r="B299" s="6" t="str">
        <x:f>LEFT(G299,SEARCH("]",G299))</x:f>
        <x:v>[9사(지리)04-01]</x:v>
      </x:c>
      <x:c r="C299" s="5" t="str">
        <x:f>MID(G299,SEARCH("]",G299)+1,200)</x:f>
        <x:v>다양한 지리 정보와 매체를 활용하여 아프리카의 국가와 주요 도시의 위치를 파악하고 자연환경의 특성을 지도로 표현한다.</x:v>
      </x:c>
      <x:c r="D299" s="1"/>
      <x:c r="E299" s="1"/>
      <x:c r="F299" s="1"/>
      <x:c r="G299" s="3" t="s">
        <x:v>1910</x:v>
      </x:c>
      <x:c r="H299" s="1"/>
      <x:c r="I299" s="1"/>
      <x:c r="J299" s="1"/>
      <x:c r="K299" s="3"/>
      <x:c r="L299" s="3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</x:row>
    <x:row r="300" spans="1:23" ht="32.75">
      <x:c r="A300" t="s">
        <x:v>33</x:v>
      </x:c>
      <x:c r="B300" s="6" t="str">
        <x:f>LEFT(G300,SEARCH("]",G300))</x:f>
        <x:v>[9사(지리)04-02]</x:v>
      </x:c>
      <x:c r="C300" s="5" t="str">
        <x:f>MID(G300,SEARCH("]",G300)+1,200)</x:f>
        <x:v>아프리카의 지리적 특성에 기반한 다양한 문화와 지역 잠재력을 탐구하고,아프리카에 대한 자신의 인식을 성찰한다.</x:v>
      </x:c>
      <x:c r="D300" s="3"/>
      <x:c r="E300" s="3"/>
      <x:c r="F300" s="3"/>
      <x:c r="G300" s="3" t="s">
        <x:v>1958</x:v>
      </x:c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</x:row>
    <x:row r="301" spans="1:23" ht="32.75">
      <x:c r="A301" t="s">
        <x:v>33</x:v>
      </x:c>
      <x:c r="B301" s="6" t="str">
        <x:f>LEFT(G301,SEARCH("]",G301))</x:f>
        <x:v>[9사(지리)04-03]</x:v>
      </x:c>
      <x:c r="C301" s="5" t="str">
        <x:f>MID(G301,SEARCH("]",G301)+1,200)</x:f>
        <x:v>지속가능한 발전을 위한 아프리카 각 지역의 노력과 세계 다양한 주체들의 협력 사례를 조사하고,세계시민으로서 우리가 참여할 수 있는 방안을 모색한다.</x:v>
      </x:c>
      <x:c r="D301" s="3"/>
      <x:c r="E301" s="3"/>
      <x:c r="F301" s="3"/>
      <x:c r="G301" s="3" t="s">
        <x:v>571</x:v>
      </x:c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</x:row>
    <x:row r="302" spans="1:23" ht="32.75">
      <x:c r="A302" t="s">
        <x:v>33</x:v>
      </x:c>
      <x:c r="B302" s="6" t="str">
        <x:f>LEFT(G302,SEARCH("]",G302))</x:f>
        <x:v>[9사(지리)05-01]</x:v>
      </x:c>
      <x:c r="C302" s="5" t="str">
        <x:f>MID(G302,SEARCH("]",G302)+1,200)</x:f>
        <x:v>다양한 지리 정보와 매체를 활용하여 아메리카의 국가와 주요 도시의 위치를 파악하고 자연환경의 특성을 지도로 표현한다.</x:v>
      </x:c>
      <x:c r="D302" s="3"/>
      <x:c r="E302" s="3"/>
      <x:c r="F302" s="3"/>
      <x:c r="G302" s="3" t="s">
        <x:v>1904</x:v>
      </x:c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</x:row>
    <x:row r="303" spans="1:23" ht="32.75">
      <x:c r="A303" t="s">
        <x:v>33</x:v>
      </x:c>
      <x:c r="B303" s="6" t="str">
        <x:f>LEFT(G303,SEARCH("]",G303))</x:f>
        <x:v>[9사(지리)05-02]</x:v>
      </x:c>
      <x:c r="C303" s="5" t="str">
        <x:f>MID(G303,SEARCH("]",G303)+1,200)</x:f>
        <x:v>다양한 민족(인종)으로 구성된 아메리카의 인구 특징을 살펴보고,사례를 들어 아메리카의 문화 혼종성을 설명한다.</x:v>
      </x:c>
      <x:c r="D303" s="3"/>
      <x:c r="E303" s="3"/>
      <x:c r="F303" s="3"/>
      <x:c r="G303" s="3" t="s">
        <x:v>1961</x:v>
      </x:c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</x:row>
    <x:row r="304" spans="1:23" ht="32.75">
      <x:c r="A304" t="s">
        <x:v>33</x:v>
      </x:c>
      <x:c r="B304" s="6" t="str">
        <x:f>LEFT(G304,SEARCH("]",G304))</x:f>
        <x:v>[9사(지리)05-03]</x:v>
      </x:c>
      <x:c r="C304" s="5" t="str">
        <x:f>MID(G304,SEARCH("]",G304)+1,200)</x:f>
        <x:v>초국적 기업의 글로벌 생산체제에 대한 이해를 바탕으로,초국적 기업의 아메리카 지역 내 입지와 해외 이전의 이유,그에 따른 해당 지역의 변화를 분석한다.</x:v>
      </x:c>
      <x:c r="D304" s="3"/>
      <x:c r="E304" s="3"/>
      <x:c r="F304" s="3"/>
      <x:c r="G304" s="3" t="s">
        <x:v>197</x:v>
      </x:c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</x:row>
    <x:row r="305" spans="1:23" ht="32.75">
      <x:c r="A305" t="s">
        <x:v>33</x:v>
      </x:c>
      <x:c r="B305" s="6" t="str">
        <x:f>LEFT(G305,SEARCH("]",G305))</x:f>
        <x:v>[9사(지리)06-01]</x:v>
      </x:c>
      <x:c r="C305" s="5" t="str">
        <x:f>MID(G305,SEARCH("]",G305)+1,200)</x:f>
        <x:v>다양한 지리 정보와 매체를 활용하여 오세아니아의 국가와 주요 도시의 위치,자연환경의 특성을 파악하고,자원 수출을 중심으로 세계 다른 지역과의 상호연계성을 탐색한다.</x:v>
      </x:c>
      <x:c r="D305" s="3"/>
      <x:c r="E305" s="3"/>
      <x:c r="F305" s="3"/>
      <x:c r="G305" s="3" t="s">
        <x:v>22</x:v>
      </x:c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</x:row>
    <x:row r="306" spans="1:23">
      <x:c r="A306" t="s">
        <x:v>33</x:v>
      </x:c>
      <x:c r="B306" s="6" t="str">
        <x:f>LEFT(G306,SEARCH("]",G306))</x:f>
        <x:v>[9사(지리)06-02]</x:v>
      </x:c>
      <x:c r="C306" s="5" t="str">
        <x:f>MID(G306,SEARCH("]",G306)+1,200)</x:f>
        <x:v>태평양 지역이 겪고 있는 환경 문제를 조사하고 그 해결에 참여할 수 있는 방안을 제안한다.</x:v>
      </x:c>
      <x:c r="D306" s="3"/>
      <x:c r="E306" s="3"/>
      <x:c r="F306" s="3"/>
      <x:c r="G306" s="3" t="s">
        <x:v>2013</x:v>
      </x:c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</x:row>
    <x:row r="307" spans="1:23" ht="32.75">
      <x:c r="A307" t="s">
        <x:v>33</x:v>
      </x:c>
      <x:c r="B307" s="6" t="str">
        <x:f>LEFT(G307,SEARCH("]",G307))</x:f>
        <x:v>[9사(지리)06-03]</x:v>
      </x:c>
      <x:c r="C307" s="5" t="str">
        <x:f>MID(G307,SEARCH("]",G307)+1,200)</x:f>
        <x:v>극지방의 지리적 중요성과 지역 개발을 둘러싼 다양한 이해관계를 살펴보고,이에 대한 자신과 상대방의 의견을 비판적으로 검토한다.</x:v>
      </x:c>
      <x:c r="D307" s="3"/>
      <x:c r="E307" s="3"/>
      <x:c r="F307" s="3"/>
      <x:c r="G307" s="3" t="s">
        <x:v>1635</x:v>
      </x:c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</x:row>
    <x:row r="308" spans="1:23" ht="32.75">
      <x:c r="A308" t="s">
        <x:v>33</x:v>
      </x:c>
      <x:c r="B308" s="6" t="str">
        <x:f>LEFT(G308,SEARCH("]",G308))</x:f>
        <x:v>[9사(지리)07-01]</x:v>
      </x:c>
      <x:c r="C308" s="5" t="str">
        <x:f>MID(G308,SEARCH("]",G308)+1,200)</x:f>
        <x:v>우리 국토의 위치와 영역에 대한 이해를 바탕으로 세계 속에서 우리나라의 위치를 지정학,지경학적 측면에서 탐색한다.</x:v>
      </x:c>
      <x:c r="D308" s="3"/>
      <x:c r="E308" s="3"/>
      <x:c r="F308" s="3"/>
      <x:c r="G308" s="3" t="s">
        <x:v>1888</x:v>
      </x:c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</x:row>
    <x:row r="309" spans="1:23" ht="32.75">
      <x:c r="A309" t="s">
        <x:v>33</x:v>
      </x:c>
      <x:c r="B309" s="6" t="str">
        <x:f>LEFT(G309,SEARCH("]",G309))</x:f>
        <x:v>[9사(지리)07-02]</x:v>
      </x:c>
      <x:c r="C309" s="5" t="str">
        <x:f>MID(G309,SEARCH("]",G309)+1,200)</x:f>
        <x:v>우리나라 행정구역과 주요 도시의 위치를 파악하고,자신이 살고 있는 곳의 장소성과장소감을 표현한다.</x:v>
      </x:c>
      <x:c r="D309" s="3"/>
      <x:c r="E309" s="3"/>
      <x:c r="F309" s="3"/>
      <x:c r="G309" s="3" t="s">
        <x:v>550</x:v>
      </x:c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</x:row>
    <x:row r="310" spans="1:23">
      <x:c r="A310" t="s">
        <x:v>33</x:v>
      </x:c>
      <x:c r="B310" s="6" t="str">
        <x:f>LEFT(G310,SEARCH("]",G310))</x:f>
        <x:v>[9사(지리)07-03]</x:v>
      </x:c>
      <x:c r="C310" s="5" t="str">
        <x:f>MID(G310,SEARCH("]",G310)+1,200)</x:f>
        <x:v>다양한 지리 정보와 매체를 활용하여 우리 지역의 문제를 선정하고 지리적으로 시각화한다.</x:v>
      </x:c>
      <x:c r="D310" s="3"/>
      <x:c r="E310" s="3"/>
      <x:c r="F310" s="3"/>
      <x:c r="G310" s="3" t="s">
        <x:v>2017</x:v>
      </x:c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</x:row>
    <x:row r="311" spans="1:23" ht="32.75">
      <x:c r="A311" t="s">
        <x:v>33</x:v>
      </x:c>
      <x:c r="B311" s="6" t="str">
        <x:f>LEFT(G311,SEARCH("]",G311))</x:f>
        <x:v>[9사(지리)08-01]</x:v>
      </x:c>
      <x:c r="C311" s="5" t="str">
        <x:f>MID(G311,SEARCH("]",G311)+1,200)</x:f>
        <x:v>우리나라 주요 산지⋅하천⋅해안 지형의 위치와 특성을 파악하고,매력적인 지형경관을 탐색하여 우리 국토의 아름다움을 느낀다.</x:v>
      </x:c>
      <x:c r="D311" s="1"/>
      <x:c r="E311" s="1"/>
      <x:c r="F311" s="1"/>
      <x:c r="G311" s="3" t="s">
        <x:v>1620</x:v>
      </x:c>
      <x:c r="H311" s="1"/>
      <x:c r="I311" s="1"/>
      <x:c r="J311" s="1"/>
      <x:c r="K311" s="3"/>
      <x:c r="L311" s="3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</x:row>
    <x:row r="312" spans="1:23" ht="32.75">
      <x:c r="A312" t="s">
        <x:v>33</x:v>
      </x:c>
      <x:c r="B312" s="6" t="str">
        <x:f>LEFT(G312,SEARCH("]",G312))</x:f>
        <x:v>[9사(지리)08-02]</x:v>
      </x:c>
      <x:c r="C312" s="5" t="str">
        <x:f>MID(G312,SEARCH("]",G312)+1,200)</x:f>
        <x:v>우리나라의 계절별,지역별 기후 특성 및 변화 양상을 파악하고,기후변화에 대한 지역별 대응 노력을 조사한다.</x:v>
      </x:c>
      <x:c r="D312" s="1"/>
      <x:c r="E312" s="1"/>
      <x:c r="F312" s="1"/>
      <x:c r="G312" s="3" t="s">
        <x:v>1966</x:v>
      </x:c>
      <x:c r="H312" s="1"/>
      <x:c r="I312" s="1"/>
      <x:c r="J312" s="1"/>
      <x:c r="K312" s="3"/>
      <x:c r="L312" s="3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</x:row>
    <x:row r="313" spans="1:23" ht="32.75">
      <x:c r="A313" t="s">
        <x:v>33</x:v>
      </x:c>
      <x:c r="B313" s="6" t="str">
        <x:f>LEFT(G313,SEARCH("]",G313))</x:f>
        <x:v>[9사(지리)08-03]</x:v>
      </x:c>
      <x:c r="C313" s="5" t="str">
        <x:f>MID(G313,SEARCH("]",G313)+1,200)</x:f>
        <x:v>우리나라 자연재해의 지리적 특성과 피해 최소화를 위한 노력을 파악하고,일상생활 속 다양한 상황에서 자연재해 발생 시 자신의 대처 방안을 탐색한다.</x:v>
      </x:c>
      <x:c r="D313" s="1"/>
      <x:c r="E313" s="1"/>
      <x:c r="F313" s="1"/>
      <x:c r="G313" s="3" t="s">
        <x:v>574</x:v>
      </x:c>
      <x:c r="H313" s="1"/>
      <x:c r="I313" s="1"/>
      <x:c r="J313" s="1"/>
      <x:c r="K313" s="3"/>
      <x:c r="L313" s="3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</x:row>
    <x:row r="314" spans="1:23" ht="32.75">
      <x:c r="A314" t="s">
        <x:v>33</x:v>
      </x:c>
      <x:c r="B314" s="6" t="str">
        <x:f>LEFT(G314,SEARCH("]",G314))</x:f>
        <x:v>[9사(지리)09-01]</x:v>
      </x:c>
      <x:c r="C314" s="5" t="str">
        <x:f>MID(G314,SEARCH("]",G314)+1,200)</x:f>
        <x:v>다양한 지리 정보와 매체를 활용하여 중부 지역의 지리적 특성 및 매력적인 여행 장소들을 탐색한다.</x:v>
      </x:c>
      <x:c r="D314" s="1"/>
      <x:c r="E314" s="1"/>
      <x:c r="F314" s="1"/>
      <x:c r="G314" s="3" t="s">
        <x:v>547</x:v>
      </x:c>
      <x:c r="H314" s="1"/>
      <x:c r="I314" s="1"/>
      <x:c r="J314" s="1"/>
      <x:c r="K314" s="3"/>
      <x:c r="L314" s="3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</x:row>
    <x:row r="315" spans="1:23" ht="32.75">
      <x:c r="A315" t="s">
        <x:v>33</x:v>
      </x:c>
      <x:c r="B315" s="6" t="str">
        <x:f>LEFT(G315,SEARCH("]",G315))</x:f>
        <x:v>[9사(지리)09-02]</x:v>
      </x:c>
      <x:c r="C315" s="5" t="str">
        <x:f>MID(G315,SEARCH("]",G315)+1,200)</x:f>
        <x:v>수도권의 공간 구조를 파악하고,인구⋅문화⋅경제적 측면을 중심으로 수도권의 변화양상을 탐색한다.</x:v>
      </x:c>
      <x:c r="D315" s="1"/>
      <x:c r="E315" s="1"/>
      <x:c r="F315" s="1"/>
      <x:c r="G315" s="3" t="s">
        <x:v>546</x:v>
      </x:c>
      <x:c r="H315" s="1"/>
      <x:c r="I315" s="1"/>
      <x:c r="J315" s="1"/>
      <x:c r="K315" s="3"/>
      <x:c r="L315" s="3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</x:row>
    <x:row r="316" spans="1:23" ht="32.75">
      <x:c r="A316" t="s">
        <x:v>33</x:v>
      </x:c>
      <x:c r="B316" s="6" t="str">
        <x:f>LEFT(G316,SEARCH("]",G316))</x:f>
        <x:v>[9사(지리)09-03]</x:v>
      </x:c>
      <x:c r="C316" s="5" t="str">
        <x:f>MID(G316,SEARCH("]",G316)+1,200)</x:f>
        <x:v>강원⋅충청 지역의 변화를 교통 발달과 수도권과의 관계를 중심으로 파악하고,강원⋅충청 지역의 산업 변화와 지역경제 활성화를 위한 노력을 조사한다.</x:v>
      </x:c>
      <x:c r="D316" s="1"/>
      <x:c r="E316" s="1"/>
      <x:c r="F316" s="1"/>
      <x:c r="G316" s="3" t="s">
        <x:v>575</x:v>
      </x:c>
      <x:c r="H316" s="1"/>
      <x:c r="I316" s="1"/>
      <x:c r="J316" s="1"/>
      <x:c r="K316" s="3"/>
      <x:c r="L316" s="3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</x:row>
    <x:row r="317" spans="1:23" ht="32.75">
      <x:c r="A317" t="s">
        <x:v>33</x:v>
      </x:c>
      <x:c r="B317" s="6" t="str">
        <x:f>LEFT(G317,SEARCH("]",G317))</x:f>
        <x:v>[9사(지리)09-04]</x:v>
      </x:c>
      <x:c r="C317" s="5" t="str">
        <x:f>MID(G317,SEARCH("]",G317)+1,200)</x:f>
        <x:v>수도권과 비수도권 간의 지역 불균형 실태를 지도로 표현하고,지역 불균형을 완화하기 위한 방안들을 제안한다.</x:v>
      </x:c>
      <x:c r="D317" s="1"/>
      <x:c r="E317" s="1"/>
      <x:c r="F317" s="1"/>
      <x:c r="G317" s="3" t="s">
        <x:v>1969</x:v>
      </x:c>
      <x:c r="H317" s="1"/>
      <x:c r="I317" s="1"/>
      <x:c r="J317" s="1"/>
      <x:c r="K317" s="3"/>
      <x:c r="L317" s="3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</x:row>
    <x:row r="318" spans="1:23" ht="32.75">
      <x:c r="A318" t="s">
        <x:v>33</x:v>
      </x:c>
      <x:c r="B318" s="6" t="str">
        <x:f>LEFT(G318,SEARCH("]",G318))</x:f>
        <x:v>[9사(지리)10-01]</x:v>
      </x:c>
      <x:c r="C318" s="5" t="str">
        <x:f>MID(G318,SEARCH("]",G318)+1,200)</x:f>
        <x:v>다양한 지리 정보와 매체를 활용하여 남부 지역의 지리적 특성 및 매력적인 여행 장소들을 탐색한다.</x:v>
      </x:c>
      <x:c r="D318" s="1"/>
      <x:c r="E318" s="1"/>
      <x:c r="F318" s="1"/>
      <x:c r="G318" s="3" t="s">
        <x:v>559</x:v>
      </x:c>
      <x:c r="H318" s="1"/>
      <x:c r="I318" s="1"/>
      <x:c r="J318" s="1"/>
      <x:c r="K318" s="3"/>
      <x:c r="L318" s="3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</x:row>
    <x:row r="319" spans="1:23" ht="32.75">
      <x:c r="A319" t="s">
        <x:v>33</x:v>
      </x:c>
      <x:c r="B319" s="6" t="str">
        <x:f>LEFT(G319,SEARCH("]",G319))</x:f>
        <x:v>[9사(지리)10-02]</x:v>
      </x:c>
      <x:c r="C319" s="5" t="str">
        <x:f>MID(G319,SEARCH("]",G319)+1,200)</x:f>
        <x:v>글로벌 경제와 우리나라 산업에서 영⋅호남 공업 지역의 위상을 파악하고,영⋅호남지역의 산업 변화와 당면 과제를 조사한다.</x:v>
      </x:c>
      <x:c r="D319" s="1"/>
      <x:c r="E319" s="1"/>
      <x:c r="F319" s="1"/>
      <x:c r="G319" s="3" t="s">
        <x:v>1887</x:v>
      </x:c>
      <x:c r="H319" s="1"/>
      <x:c r="I319" s="1"/>
      <x:c r="J319" s="1"/>
      <x:c r="K319" s="3"/>
      <x:c r="L319" s="3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</x:row>
    <x:row r="320" spans="1:23" ht="32.75">
      <x:c r="A320" t="s">
        <x:v>33</x:v>
      </x:c>
      <x:c r="B320" s="6" t="str">
        <x:f>LEFT(G320,SEARCH("]",G320))</x:f>
        <x:v>[9사(지리)10-03]</x:v>
      </x:c>
      <x:c r="C320" s="5" t="str">
        <x:f>MID(G320,SEARCH("]",G320)+1,200)</x:f>
        <x:v>제주도의 지역 변화와 이를 둘러싼 다양한 가치를 살펴보고 이에 대한 자신과 상대방의 의견을 비판적으로 검토한다.</x:v>
      </x:c>
      <x:c r="D320" s="1"/>
      <x:c r="E320" s="1"/>
      <x:c r="F320" s="1"/>
      <x:c r="G320" s="3" t="s">
        <x:v>1960</x:v>
      </x:c>
      <x:c r="H320" s="1"/>
      <x:c r="I320" s="1"/>
      <x:c r="J320" s="1"/>
      <x:c r="K320" s="3"/>
      <x:c r="L320" s="3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</x:row>
    <x:row r="321" spans="1:23">
      <x:c r="A321" t="s">
        <x:v>33</x:v>
      </x:c>
      <x:c r="B321" s="6" t="str">
        <x:f>LEFT(G321,SEARCH("]",G321))</x:f>
        <x:v>[9사(지리)11-01]</x:v>
      </x:c>
      <x:c r="C321" s="5" t="str">
        <x:f>MID(G321,SEARCH("]",G321)+1,200)</x:f>
        <x:v>다양한 지리 정보와 매체를 활용하여 북한의 자연환경과 인문환경의 특징을 탐색한다.</x:v>
      </x:c>
      <x:c r="D321" s="1"/>
      <x:c r="E321" s="1"/>
      <x:c r="F321" s="1"/>
      <x:c r="G321" s="3" t="s">
        <x:v>89</x:v>
      </x:c>
      <x:c r="H321" s="1"/>
      <x:c r="I321" s="1"/>
      <x:c r="J321" s="1"/>
      <x:c r="K321" s="3"/>
      <x:c r="L321" s="3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</x:row>
    <x:row r="322" spans="1:23" ht="32.75">
      <x:c r="A322" t="s">
        <x:v>33</x:v>
      </x:c>
      <x:c r="B322" s="6" t="str">
        <x:f>LEFT(G322,SEARCH("]",G322))</x:f>
        <x:v>[9사(지리)11-02]</x:v>
      </x:c>
      <x:c r="C322" s="5" t="str">
        <x:f>MID(G322,SEARCH("]",G322)+1,200)</x:f>
        <x:v>분단이 우리의 일상생활에 미친 영향을 살펴보고,분리와 연결의 공간으로서 접경지역의 다양한 모습을 세계 여러 지역의 사례를 통해 비교한다.</x:v>
      </x:c>
      <x:c r="D322" s="1"/>
      <x:c r="E322" s="1"/>
      <x:c r="F322" s="1"/>
      <x:c r="G322" s="3" t="s">
        <x:v>1769</x:v>
      </x:c>
      <x:c r="H322" s="1"/>
      <x:c r="I322" s="1"/>
      <x:c r="J322" s="1"/>
      <x:c r="K322" s="3"/>
      <x:c r="L322" s="3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</x:row>
    <x:row r="323" spans="1:12" ht="32.75">
      <x:c r="A323" t="s">
        <x:v>33</x:v>
      </x:c>
      <x:c r="B323" s="6" t="str">
        <x:f>LEFT(G323,SEARCH("]",G323))</x:f>
        <x:v>[9사(지리)11-03]</x:v>
      </x:c>
      <x:c r="C323" s="5" t="str">
        <x:f>MID(G323,SEARCH("]",G323)+1,200)</x:f>
        <x:v>세계시민의 관점에서 한반도 평화의 중요성을 논의하고,한반도 평화와 통일 환경 속에서 우리의 삶과 국토의 미래를 구상한다.</x:v>
      </x:c>
      <x:c r="G323" s="3" t="s">
        <x:v>1622</x:v>
      </x:c>
      <x:c r="K323" s="3"/>
      <x:c r="L323" s="3"/>
    </x:row>
    <x:row r="324" spans="1:12" ht="32.75">
      <x:c r="A324" t="s">
        <x:v>33</x:v>
      </x:c>
      <x:c r="B324" s="6" t="str">
        <x:f>LEFT(G324,SEARCH("]",G324))</x:f>
        <x:v>[9사(지리)12-01]</x:v>
      </x:c>
      <x:c r="C324" s="5" t="str">
        <x:f>MID(G324,SEARCH("]",G324)+1,200)</x:f>
        <x:v>우리나라 주요 식량 자원 및 에너지 자원의 소비 현황과 수입국 현황을 분석하여 이와 관련된 문제를 파악하고,자원의 지속가능한 확보 방안을 모색한다.</x:v>
      </x:c>
      <x:c r="G324" s="3" t="s">
        <x:v>580</x:v>
      </x:c>
      <x:c r="K324" s="3"/>
      <x:c r="L324" s="3"/>
    </x:row>
    <x:row r="325" spans="1:12" ht="32.75">
      <x:c r="A325" t="s">
        <x:v>33</x:v>
      </x:c>
      <x:c r="B325" s="6" t="str">
        <x:f>LEFT(G325,SEARCH("]",G325))</x:f>
        <x:v>[9사(지리)12-02]</x:v>
      </x:c>
      <x:c r="C325" s="5" t="str">
        <x:f>MID(G325,SEARCH("]",G325)+1,200)</x:f>
        <x:v>지역 개발과 환경 보존을 둘러싼 글로컬 환경 이슈에 관심을 가지고 자신의 웰빙및 공동체의 지속가능한 발전을 위해 참여하고 실천한다.</x:v>
      </x:c>
      <x:c r="G325" s="3" t="s">
        <x:v>274</x:v>
      </x:c>
      <x:c r="K325" s="3"/>
      <x:c r="L325" s="3"/>
    </x:row>
    <x:row r="326" spans="1:12" ht="32.75">
      <x:c r="A326" t="s">
        <x:v>33</x:v>
      </x:c>
      <x:c r="B326" s="6" t="str">
        <x:f>LEFT(G326,SEARCH("]",G326))</x:f>
        <x:v>[9사(지리)12-03]</x:v>
      </x:c>
      <x:c r="C326" s="5" t="str">
        <x:f>MID(G326,SEARCH("]",G326)+1,200)</x:f>
        <x:v>더 나은 지역을 만들어 가는 사람들의 노력을 국내외 사례를 통해 살펴보고,자신이 사는 지역의 문제를 해결하기 위한 방안을 모색하고 이를 실천한다.</x:v>
      </x:c>
      <x:c r="G326" s="3" t="s">
        <x:v>576</x:v>
      </x:c>
      <x:c r="K326" s="3"/>
      <x:c r="L326" s="3"/>
    </x:row>
    <x:row r="327" spans="1:12">
      <x:c r="A327" t="s">
        <x:v>724</x:v>
      </x:c>
      <x:c r="B327" s="6" t="str">
        <x:f>LEFT(G327,SEARCH("]",G327))</x:f>
        <x:v>[9생독01-01]</x:v>
      </x:c>
      <x:c r="C327" s="5" t="str">
        <x:f>MID(G327,SEARCH("]",G327)+1,200)</x:f>
        <x:v>낱말이나 간단한 구를 듣고 소리와 낱말을 식별한다.</x:v>
      </x:c>
      <x:c r="G327" s="3" t="s">
        <x:v>1741</x:v>
      </x:c>
      <x:c r="K327" s="3"/>
      <x:c r="L327" s="3"/>
    </x:row>
    <x:row r="328" spans="1:12">
      <x:c r="A328" t="s">
        <x:v>724</x:v>
      </x:c>
      <x:c r="B328" s="6" t="str">
        <x:f>LEFT(G328,SEARCH("]",G328))</x:f>
        <x:v>[9생독01-02]</x:v>
      </x:c>
      <x:c r="C328" s="5" t="str">
        <x:f>MID(G328,SEARCH("]",G328)+1,200)</x:f>
        <x:v>낱말이나 간단한 구,간단하고 쉬운 문장,간단하고 쉬운 대화를 듣고 의미를 이해한다.</x:v>
      </x:c>
      <x:c r="G328" s="3" t="s">
        <x:v>87</x:v>
      </x:c>
      <x:c r="K328" s="3"/>
      <x:c r="L328" s="3"/>
    </x:row>
    <x:row r="329" spans="1:12">
      <x:c r="A329" t="s">
        <x:v>724</x:v>
      </x:c>
      <x:c r="B329" s="6" t="str">
        <x:f>LEFT(G329,SEARCH("]",G329))</x:f>
        <x:v>[9생독01-03]</x:v>
      </x:c>
      <x:c r="C329" s="5" t="str">
        <x:f>MID(G329,SEARCH("]",G329)+1,200)</x:f>
        <x:v>상대방의 말을 경청하며 적극적으로 호응한다.</x:v>
      </x:c>
      <x:c r="G329" s="3" t="s">
        <x:v>1792</x:v>
      </x:c>
      <x:c r="K329" s="3"/>
      <x:c r="L329" s="3"/>
    </x:row>
    <x:row r="330" spans="1:12">
      <x:c r="A330" t="s">
        <x:v>724</x:v>
      </x:c>
      <x:c r="B330" s="6" t="str">
        <x:f>LEFT(G330,SEARCH("]",G330))</x:f>
        <x:v>[9생독02-01]</x:v>
      </x:c>
      <x:c r="C330" s="5" t="str">
        <x:f>MID(G330,SEARCH("]",G330)+1,200)</x:f>
        <x:v>낱말이나 간단한 구,간단하고 쉬운 문장을 발음 규칙에 유의하여 말한다.</x:v>
      </x:c>
      <x:c r="G330" s="3" t="s">
        <x:v>1885</x:v>
      </x:c>
      <x:c r="K330" s="3"/>
      <x:c r="L330" s="3"/>
    </x:row>
    <x:row r="331" spans="1:12">
      <x:c r="A331" t="s">
        <x:v>724</x:v>
      </x:c>
      <x:c r="B331" s="6" t="str">
        <x:f>LEFT(G331,SEARCH("]",G331))</x:f>
        <x:v>[9생독02-02]</x:v>
      </x:c>
      <x:c r="C331" s="5" t="str">
        <x:f>MID(G331,SEARCH("]",G331)+1,200)</x:f>
        <x:v>간단하고 쉬운 의사소통 표현을 사용하여 상황에 맞게 말한다.</x:v>
      </x:c>
      <x:c r="G331" s="3" t="s">
        <x:v>14</x:v>
      </x:c>
      <x:c r="K331" s="3"/>
      <x:c r="L331" s="3"/>
    </x:row>
    <x:row r="332" spans="1:12">
      <x:c r="A332" t="s">
        <x:v>724</x:v>
      </x:c>
      <x:c r="B332" s="6" t="str">
        <x:f>LEFT(G332,SEARCH("]",G332))</x:f>
        <x:v>[9생독02-03]</x:v>
      </x:c>
      <x:c r="C332" s="5" t="str">
        <x:f>MID(G332,SEARCH("]",G332)+1,200)</x:f>
        <x:v>상대방을 존중하며 말하기 활동에 적극적으로 참여한다.</x:v>
      </x:c>
      <x:c r="G332" s="3" t="s">
        <x:v>1726</x:v>
      </x:c>
      <x:c r="K332" s="3"/>
      <x:c r="L332" s="3"/>
    </x:row>
    <x:row r="333" spans="1:12">
      <x:c r="A333" t="s">
        <x:v>724</x:v>
      </x:c>
      <x:c r="B333" s="6" t="str">
        <x:f>LEFT(G333,SEARCH("]",G333))</x:f>
        <x:v>[9생독03-01]</x:v>
      </x:c>
      <x:c r="C333" s="5" t="str">
        <x:f>MID(G333,SEARCH("]",G333)+1,200)</x:f>
        <x:v>말이나 간단한 구,간단하고 쉬운 문장을 발음 규칙에 유의하여 소리 내어 읽는다.</x:v>
      </x:c>
      <x:c r="G333" s="3" t="s">
        <x:v>2066</x:v>
      </x:c>
      <x:c r="K333" s="3"/>
      <x:c r="L333" s="3"/>
    </x:row>
    <x:row r="334" spans="1:12">
      <x:c r="A334" t="s">
        <x:v>724</x:v>
      </x:c>
      <x:c r="B334" s="6" t="str">
        <x:f>LEFT(G334,SEARCH("]",G334))</x:f>
        <x:v>[9생독03-02]</x:v>
      </x:c>
      <x:c r="C334" s="5" t="str">
        <x:f>MID(G334,SEARCH("]",G334)+1,200)</x:f>
        <x:v>낱말이나 간단한 구,간단하고 쉬운 문장을 읽고 의미와 내용을 파악한다.</x:v>
      </x:c>
      <x:c r="G334" s="3" t="s">
        <x:v>1819</x:v>
      </x:c>
      <x:c r="K334" s="3"/>
      <x:c r="L334" s="3"/>
    </x:row>
    <x:row r="335" spans="1:12">
      <x:c r="A335" t="s">
        <x:v>724</x:v>
      </x:c>
      <x:c r="B335" s="6" t="str">
        <x:f>LEFT(G335,SEARCH("]",G335))</x:f>
        <x:v>[9생독03-03]</x:v>
      </x:c>
      <x:c r="C335" s="5" t="str">
        <x:f>MID(G335,SEARCH("]",G335)+1,200)</x:f>
        <x:v>간단하고 쉬운 대화문이나 텍스트를 읽고 정보를 파악한다.</x:v>
      </x:c>
      <x:c r="G335" s="3" t="s">
        <x:v>2055</x:v>
      </x:c>
      <x:c r="K335" s="3"/>
      <x:c r="L335" s="3"/>
    </x:row>
    <x:row r="336" spans="1:12">
      <x:c r="A336" t="s">
        <x:v>724</x:v>
      </x:c>
      <x:c r="B336" s="6" t="str">
        <x:f>LEFT(G336,SEARCH("]",G336))</x:f>
        <x:v>[9생독04-01]</x:v>
      </x:c>
      <x:c r="C336" s="5" t="str">
        <x:f>MID(G336,SEARCH("]",G336)+1,200)</x:f>
        <x:v>낱말이나 간단한 구,간단하고 쉬운 문장을 어법에 맞게 쓴다.</x:v>
      </x:c>
      <x:c r="G336" s="3" t="s">
        <x:v>2063</x:v>
      </x:c>
      <x:c r="K336" s="3"/>
      <x:c r="L336" s="3"/>
    </x:row>
    <x:row r="337" spans="1:12">
      <x:c r="A337" t="s">
        <x:v>724</x:v>
      </x:c>
      <x:c r="B337" s="6" t="str">
        <x:f>LEFT(G337,SEARCH("]",G337))</x:f>
        <x:v>[9생독04-02]</x:v>
      </x:c>
      <x:c r="C337" s="5" t="str">
        <x:f>MID(G337,SEARCH("]",G337)+1,200)</x:f>
        <x:v>간단하고 쉬운 대화문이나 텍스트를 상황과 목적에 맞게 작성한다.</x:v>
      </x:c>
      <x:c r="G337" s="3" t="s">
        <x:v>1684</x:v>
      </x:c>
      <x:c r="K337" s="3"/>
      <x:c r="L337" s="3"/>
    </x:row>
    <x:row r="338" spans="1:12">
      <x:c r="A338" t="s">
        <x:v>724</x:v>
      </x:c>
      <x:c r="B338" s="6" t="str">
        <x:f>LEFT(G338,SEARCH("]",G338))</x:f>
        <x:v>[9생독04-03]</x:v>
      </x:c>
      <x:c r="C338" s="5" t="str">
        <x:f>MID(G338,SEARCH("]",G338)+1,200)</x:f>
        <x:v>글쓰기에 흥미를 갖고 쓰기 활동에 적극적으로 참여한다.</x:v>
      </x:c>
      <x:c r="G338" s="3" t="s">
        <x:v>2056</x:v>
      </x:c>
      <x:c r="K338" s="3"/>
      <x:c r="L338" s="3"/>
    </x:row>
    <x:row r="339" spans="1:12">
      <x:c r="A339" t="s">
        <x:v>724</x:v>
      </x:c>
      <x:c r="B339" s="6" t="str">
        <x:f>LEFT(G339,SEARCH("]",G339))</x:f>
        <x:v>[9생독05-01]</x:v>
      </x:c>
      <x:c r="C339" s="5" t="str">
        <x:f>MID(G339,SEARCH("]",G339)+1,200)</x:f>
        <x:v>독일어권 주요 문화 내용을 이해한다.</x:v>
      </x:c>
      <x:c r="G339" s="3" t="s">
        <x:v>1723</x:v>
      </x:c>
      <x:c r="K339" s="3"/>
      <x:c r="L339" s="3"/>
    </x:row>
    <x:row r="340" spans="1:12">
      <x:c r="A340" t="s">
        <x:v>724</x:v>
      </x:c>
      <x:c r="B340" s="6" t="str">
        <x:f>LEFT(G340,SEARCH("]",G340))</x:f>
        <x:v>[9생독05-02]</x:v>
      </x:c>
      <x:c r="C340" s="5" t="str">
        <x:f>MID(G340,SEARCH("]",G340)+1,200)</x:f>
        <x:v>독일어권 주요 문화 내용을 조사하여 설명한다.</x:v>
      </x:c>
      <x:c r="G340" s="3" t="s">
        <x:v>1794</x:v>
      </x:c>
      <x:c r="K340" s="3"/>
      <x:c r="L340" s="3"/>
    </x:row>
    <x:row r="341" spans="1:12">
      <x:c r="A341" t="s">
        <x:v>724</x:v>
      </x:c>
      <x:c r="B341" s="6" t="str">
        <x:f>LEFT(G341,SEARCH("]",G341))</x:f>
        <x:v>[9생독05-03]</x:v>
      </x:c>
      <x:c r="C341" s="5" t="str">
        <x:f>MID(G341,SEARCH("]",G341)+1,200)</x:f>
        <x:v>독일어권 주요 문화 내용을 이해하여 독일어 의사소통 상황에 활용한다.</x:v>
      </x:c>
      <x:c r="G341" s="3" t="s">
        <x:v>1838</x:v>
      </x:c>
      <x:c r="K341" s="3"/>
      <x:c r="L341" s="3"/>
    </x:row>
    <x:row r="342" spans="1:12">
      <x:c r="A342" t="s">
        <x:v>724</x:v>
      </x:c>
      <x:c r="B342" s="6" t="str">
        <x:f>LEFT(G342,SEARCH("]",G342))</x:f>
        <x:v>[9생독05-04]</x:v>
      </x:c>
      <x:c r="C342" s="5" t="str">
        <x:f>MID(G342,SEARCH("]",G342)+1,200)</x:f>
        <x:v>독일어권 문화에 대해 호기심을 갖고 탐구 활동에 적극적으로 참여한다.</x:v>
      </x:c>
      <x:c r="G342" s="3" t="s">
        <x:v>1825</x:v>
      </x:c>
      <x:c r="K342" s="3"/>
      <x:c r="L342" s="3"/>
    </x:row>
    <x:row r="343" spans="1:12">
      <x:c r="A343" t="s">
        <x:v>729</x:v>
      </x:c>
      <x:c r="B343" s="6" t="str">
        <x:f>LEFT(G343,SEARCH("]",G343))</x:f>
        <x:v>[9생러01-01]</x:v>
      </x:c>
      <x:c r="C343" s="5" t="str">
        <x:f>MID(G343,SEARCH("]",G343)+1,200)</x:f>
        <x:v>발음 규칙에 유의하여 철자,낱말을 식별한다.</x:v>
      </x:c>
      <x:c r="G343" s="3" t="s">
        <x:v>1778</x:v>
      </x:c>
      <x:c r="K343" s="3"/>
      <x:c r="L343" s="3"/>
    </x:row>
    <x:row r="344" spans="1:12">
      <x:c r="A344" t="s">
        <x:v>729</x:v>
      </x:c>
      <x:c r="B344" s="6" t="str">
        <x:f>LEFT(G344,SEARCH("]",G344))</x:f>
        <x:v>[9생러01-02]</x:v>
      </x:c>
      <x:c r="C344" s="5" t="str">
        <x:f>MID(G344,SEARCH("]",G344)+1,200)</x:f>
        <x:v>간단하고 쉬운 대화나 독백을 듣고 내용을 파악한다.</x:v>
      </x:c>
      <x:c r="G344" s="3" t="s">
        <x:v>1733</x:v>
      </x:c>
      <x:c r="K344" s="3"/>
      <x:c r="L344" s="3"/>
    </x:row>
    <x:row r="345" spans="1:12">
      <x:c r="A345" t="s">
        <x:v>729</x:v>
      </x:c>
      <x:c r="B345" s="6" t="str">
        <x:f>LEFT(G345,SEARCH("]",G345))</x:f>
        <x:v>[9생러01-03]</x:v>
      </x:c>
      <x:c r="C345" s="5" t="str">
        <x:f>MID(G345,SEARCH("]",G345)+1,200)</x:f>
        <x:v>듣기 자료나 타인의 말을 듣고 그 의도를 파악하고 적절히 반응한다.</x:v>
      </x:c>
      <x:c r="G345" s="3" t="s">
        <x:v>1692</x:v>
      </x:c>
      <x:c r="K345" s="3"/>
      <x:c r="L345" s="3"/>
    </x:row>
    <x:row r="346" spans="1:12">
      <x:c r="A346" t="s">
        <x:v>729</x:v>
      </x:c>
      <x:c r="B346" s="6" t="str">
        <x:f>LEFT(G346,SEARCH("]",G346))</x:f>
        <x:v>[9생러02-01]</x:v>
      </x:c>
      <x:c r="C346" s="5" t="str">
        <x:f>MID(G346,SEARCH("]",G346)+1,200)</x:f>
        <x:v>낱말이나 간단하고 쉬운 구,문장을 강세와 억양에 유의하여 말한다.</x:v>
      </x:c>
      <x:c r="G346" s="3" t="s">
        <x:v>1691</x:v>
      </x:c>
      <x:c r="K346" s="3"/>
      <x:c r="L346" s="3"/>
    </x:row>
    <x:row r="347" spans="1:12">
      <x:c r="A347" t="s">
        <x:v>729</x:v>
      </x:c>
      <x:c r="B347" s="6" t="str">
        <x:f>LEFT(G347,SEARCH("]",G347))</x:f>
        <x:v>[9생러02-02]</x:v>
      </x:c>
      <x:c r="C347" s="5" t="str">
        <x:f>MID(G347,SEARCH("]",G347)+1,200)</x:f>
        <x:v>간단하고 쉬운 의사소통 표현을 사용하여 상황에 맞게 대화한다.</x:v>
      </x:c>
      <x:c r="G347" s="3" t="s">
        <x:v>1693</x:v>
      </x:c>
      <x:c r="K347" s="3"/>
      <x:c r="L347" s="3"/>
    </x:row>
    <x:row r="348" spans="1:12">
      <x:c r="A348" t="s">
        <x:v>729</x:v>
      </x:c>
      <x:c r="B348" s="6" t="str">
        <x:f>LEFT(G348,SEARCH("]",G348))</x:f>
        <x:v>[9생러02-03]</x:v>
      </x:c>
      <x:c r="C348" s="5" t="str">
        <x:f>MID(G348,SEARCH("]",G348)+1,200)</x:f>
        <x:v>타인을 존중하며 말하기 활동에 적극적으로 참여한다.</x:v>
      </x:c>
      <x:c r="G348" s="3" t="s">
        <x:v>1748</x:v>
      </x:c>
      <x:c r="K348" s="3"/>
      <x:c r="L348" s="3"/>
    </x:row>
    <x:row r="349" spans="1:12">
      <x:c r="A349" t="s">
        <x:v>729</x:v>
      </x:c>
      <x:c r="B349" s="6" t="str">
        <x:f>LEFT(G349,SEARCH("]",G349))</x:f>
        <x:v>[9생러03-01]</x:v>
      </x:c>
      <x:c r="C349" s="5" t="str">
        <x:f>MID(G349,SEARCH("]",G349)+1,200)</x:f>
        <x:v>낱말이나 간단하고 쉬운 구,문장을 강세와 억양에 유의하여 소리 내어 읽는다.</x:v>
      </x:c>
      <x:c r="G349" s="3" t="s">
        <x:v>2070</x:v>
      </x:c>
      <x:c r="K349" s="3"/>
      <x:c r="L349" s="3"/>
    </x:row>
    <x:row r="350" spans="1:12">
      <x:c r="A350" t="s">
        <x:v>729</x:v>
      </x:c>
      <x:c r="B350" s="6" t="str">
        <x:f>LEFT(G350,SEARCH("]",G350))</x:f>
        <x:v>[9생러03-02]</x:v>
      </x:c>
      <x:c r="C350" s="5" t="str">
        <x:f>MID(G350,SEARCH("]",G350)+1,200)</x:f>
        <x:v>낱말이나 간단하고 쉬운 구,문장을 읽고 의미와 내용을 이해한다.</x:v>
      </x:c>
      <x:c r="G350" s="3" t="s">
        <x:v>1698</x:v>
      </x:c>
      <x:c r="K350" s="3"/>
      <x:c r="L350" s="3"/>
    </x:row>
    <x:row r="351" spans="1:12">
      <x:c r="A351" t="s">
        <x:v>729</x:v>
      </x:c>
      <x:c r="B351" s="6" t="str">
        <x:f>LEFT(G351,SEARCH("]",G351))</x:f>
        <x:v>[9생러03-03]</x:v>
      </x:c>
      <x:c r="C351" s="5" t="str">
        <x:f>MID(G351,SEARCH("]",G351)+1,200)</x:f>
        <x:v>다양한 관점과 의견을 존중하며 읽기 활동에 자기주도적으로 참여한다.</x:v>
      </x:c>
      <x:c r="G351" s="3" t="s">
        <x:v>1694</x:v>
      </x:c>
      <x:c r="K351" s="3"/>
      <x:c r="L351" s="3"/>
    </x:row>
    <x:row r="352" spans="1:12">
      <x:c r="A352" t="s">
        <x:v>729</x:v>
      </x:c>
      <x:c r="B352" s="6" t="str">
        <x:f>LEFT(G352,SEARCH("]",G352))</x:f>
        <x:v>[9생러04-01]</x:v>
      </x:c>
      <x:c r="C352" s="5" t="str">
        <x:f>MID(G352,SEARCH("]",G352)+1,200)</x:f>
        <x:v>낱말,간단하고 쉬운 구,문장을 정서법과 어법에 맞게 쓴다.</x:v>
      </x:c>
      <x:c r="G352" s="3" t="s">
        <x:v>2058</x:v>
      </x:c>
      <x:c r="K352" s="3"/>
      <x:c r="L352" s="3"/>
    </x:row>
    <x:row r="353" spans="1:12">
      <x:c r="A353" t="s">
        <x:v>729</x:v>
      </x:c>
      <x:c r="B353" s="6" t="str">
        <x:f>LEFT(G353,SEARCH("]",G353))</x:f>
        <x:v>[9생러04-02]</x:v>
      </x:c>
      <x:c r="C353" s="5" t="str">
        <x:f>MID(G353,SEARCH("]",G353)+1,200)</x:f>
        <x:v>간단하고 쉬운 글을 상황과 목적에 맞게 작성한다.</x:v>
      </x:c>
      <x:c r="G353" s="3" t="s">
        <x:v>1725</x:v>
      </x:c>
      <x:c r="K353" s="3"/>
      <x:c r="L353" s="3"/>
    </x:row>
    <x:row r="354" spans="1:12">
      <x:c r="A354" t="s">
        <x:v>729</x:v>
      </x:c>
      <x:c r="B354" s="6" t="str">
        <x:f>LEFT(G354,SEARCH("]",G354))</x:f>
        <x:v>[9생러04-03]</x:v>
      </x:c>
      <x:c r="C354" s="5" t="str">
        <x:f>MID(G354,SEARCH("]",G354)+1,200)</x:f>
        <x:v>글쓰기에 흥미를 갖고 쓰기 활동에 자기주도적으로 참여한다.</x:v>
      </x:c>
      <x:c r="G354" s="3" t="s">
        <x:v>2061</x:v>
      </x:c>
      <x:c r="K354" s="3"/>
      <x:c r="L354" s="3"/>
    </x:row>
    <x:row r="355" spans="1:12">
      <x:c r="A355" t="s">
        <x:v>729</x:v>
      </x:c>
      <x:c r="B355" s="6" t="str">
        <x:f>LEFT(G355,SEARCH("]",G355))</x:f>
        <x:v>[9생러05-01]</x:v>
      </x:c>
      <x:c r="C355" s="5" t="str">
        <x:f>MID(G355,SEARCH("]",G355)+1,200)</x:f>
        <x:v>러시아의 주요 문화 내용을 이해한다.</x:v>
      </x:c>
      <x:c r="G355" s="3" t="s">
        <x:v>1718</x:v>
      </x:c>
      <x:c r="K355" s="3"/>
      <x:c r="L355" s="3"/>
    </x:row>
    <x:row r="356" spans="1:12">
      <x:c r="A356" t="s">
        <x:v>729</x:v>
      </x:c>
      <x:c r="B356" s="6" t="str">
        <x:f>LEFT(G356,SEARCH("]",G356))</x:f>
        <x:v>[9생러05-02]</x:v>
      </x:c>
      <x:c r="C356" s="5" t="str">
        <x:f>MID(G356,SEARCH("]",G356)+1,200)</x:f>
        <x:v>러시아의 주요 문화 내용을 러시아어 의사소통 상황에 활용한다.</x:v>
      </x:c>
      <x:c r="G356" s="3" t="s">
        <x:v>1695</x:v>
      </x:c>
      <x:c r="K356" s="3"/>
      <x:c r="L356" s="3"/>
    </x:row>
    <x:row r="357" spans="1:12">
      <x:c r="A357" t="s">
        <x:v>729</x:v>
      </x:c>
      <x:c r="B357" s="6" t="str">
        <x:f>LEFT(G357,SEARCH("]",G357))</x:f>
        <x:v>[9생러05-03]</x:v>
      </x:c>
      <x:c r="C357" s="5" t="str">
        <x:f>MID(G357,SEARCH("]",G357)+1,200)</x:f>
        <x:v>러시아 문화에 관심을 가지고 수업이나 과제 활동에 자기주도적으로 참여한다.</x:v>
      </x:c>
      <x:c r="G357" s="3" t="s">
        <x:v>1832</x:v>
      </x:c>
      <x:c r="K357" s="3"/>
      <x:c r="L357" s="3"/>
    </x:row>
    <x:row r="358" spans="1:12">
      <x:c r="A358" t="s">
        <x:v>728</x:v>
      </x:c>
      <x:c r="B358" s="6" t="str">
        <x:f>LEFT(G358,SEARCH("]",G358))</x:f>
        <x:v>[9생베01-01]</x:v>
      </x:c>
      <x:c r="C358" s="5" t="str">
        <x:f>MID(G358,SEARCH("]",G358)+1,200)</x:f>
        <x:v>낱말이나 간단하고 쉬운 구,문장을 듣고 발음 및 성조를 식별한다.</x:v>
      </x:c>
      <x:c r="G358" s="3" t="s">
        <x:v>1696</x:v>
      </x:c>
      <x:c r="K358" s="3"/>
      <x:c r="L358" s="3"/>
    </x:row>
    <x:row r="359" spans="1:12">
      <x:c r="A359" t="s">
        <x:v>728</x:v>
      </x:c>
      <x:c r="B359" s="6" t="str">
        <x:f>LEFT(G359,SEARCH("]",G359))</x:f>
        <x:v>[9생베01-02]</x:v>
      </x:c>
      <x:c r="C359" s="5" t="str">
        <x:f>MID(G359,SEARCH("]",G359)+1,200)</x:f>
        <x:v>낱말이나 간단하고 쉬운 구,문장을 듣고 의미를 파악한다.</x:v>
      </x:c>
      <x:c r="G359" s="3" t="s">
        <x:v>2062</x:v>
      </x:c>
      <x:c r="K359" s="3"/>
      <x:c r="L359" s="3"/>
    </x:row>
    <x:row r="360" spans="1:12">
      <x:c r="A360" t="s">
        <x:v>728</x:v>
      </x:c>
      <x:c r="B360" s="6" t="str">
        <x:f>LEFT(G360,SEARCH("]",G360))</x:f>
        <x:v>[9생베01-03]</x:v>
      </x:c>
      <x:c r="C360" s="5" t="str">
        <x:f>MID(G360,SEARCH("]",G360)+1,200)</x:f>
        <x:v>일상생활과 관련된 간단하고 쉬운 글이나 대화를 듣고 주요 정보를 파악한다.</x:v>
      </x:c>
      <x:c r="G360" s="3" t="s">
        <x:v>1835</x:v>
      </x:c>
      <x:c r="K360" s="3"/>
      <x:c r="L360" s="3"/>
    </x:row>
    <x:row r="361" spans="1:12">
      <x:c r="A361" t="s">
        <x:v>728</x:v>
      </x:c>
      <x:c r="B361" s="6" t="str">
        <x:f>LEFT(G361,SEARCH("]",G361))</x:f>
        <x:v>[9생베01-04]</x:v>
      </x:c>
      <x:c r="C361" s="5" t="str">
        <x:f>MID(G361,SEARCH("]",G361)+1,200)</x:f>
        <x:v>간단하고 쉬운 듣기 자료나 상대방의 말을 경청하고 적절하게 반응한다.</x:v>
      </x:c>
      <x:c r="G361" s="3" t="s">
        <x:v>1814</x:v>
      </x:c>
      <x:c r="K361" s="3"/>
      <x:c r="L361" s="3"/>
    </x:row>
    <x:row r="362" spans="1:12">
      <x:c r="A362" t="s">
        <x:v>728</x:v>
      </x:c>
      <x:c r="B362" s="6" t="str">
        <x:f>LEFT(G362,SEARCH("]",G362))</x:f>
        <x:v>[9생베02-01]</x:v>
      </x:c>
      <x:c r="C362" s="5" t="str">
        <x:f>MID(G362,SEARCH("]",G362)+1,200)</x:f>
        <x:v>낱말이나 간단하고 쉬운 구,문장을 발음과 성조에 유의하여 말한다.</x:v>
      </x:c>
      <x:c r="G362" s="3" t="s">
        <x:v>1697</x:v>
      </x:c>
      <x:c r="K362" s="3"/>
      <x:c r="L362" s="3"/>
    </x:row>
    <x:row r="363" spans="1:12">
      <x:c r="A363" t="s">
        <x:v>728</x:v>
      </x:c>
      <x:c r="B363" s="6" t="str">
        <x:f>LEFT(G363,SEARCH("]",G363))</x:f>
        <x:v>[9생베02-02]</x:v>
      </x:c>
      <x:c r="C363" s="5" t="str">
        <x:f>MID(G363,SEARCH("]",G363)+1,200)</x:f>
        <x:v>낱말이나 간단하고 쉬운 의사소통 표현을 상황에 맞게 말한다.</x:v>
      </x:c>
      <x:c r="G363" s="3" t="s">
        <x:v>2057</x:v>
      </x:c>
      <x:c r="K363" s="3"/>
      <x:c r="L363" s="3"/>
    </x:row>
    <x:row r="364" spans="1:12">
      <x:c r="A364" t="s">
        <x:v>728</x:v>
      </x:c>
      <x:c r="B364" s="6" t="str">
        <x:f>LEFT(G364,SEARCH("]",G364))</x:f>
        <x:v>[9생베02-03]</x:v>
      </x:c>
      <x:c r="C364" s="5" t="str">
        <x:f>MID(G364,SEARCH("]",G364)+1,200)</x:f>
        <x:v>상대방을 존중하는 태도로 말하기 활동에 적극적으로 참여한다.</x:v>
      </x:c>
      <x:c r="G364" s="3" t="s">
        <x:v>2060</x:v>
      </x:c>
      <x:c r="K364" s="3"/>
      <x:c r="L364" s="3"/>
    </x:row>
    <x:row r="365" spans="1:12">
      <x:c r="A365" t="s">
        <x:v>728</x:v>
      </x:c>
      <x:c r="B365" s="6" t="str">
        <x:f>LEFT(G365,SEARCH("]",G365))</x:f>
        <x:v>[9생베03-01]</x:v>
      </x:c>
      <x:c r="C365" s="5" t="str">
        <x:f>MID(G365,SEARCH("]",G365)+1,200)</x:f>
        <x:v>낱말이나 간단하고 쉬운 구,문장을 발음과 성조에 유의하여 소리 내어 읽는다.</x:v>
      </x:c>
      <x:c r="G365" s="3" t="s">
        <x:v>2068</x:v>
      </x:c>
      <x:c r="K365" s="3"/>
      <x:c r="L365" s="3"/>
    </x:row>
    <x:row r="366" spans="1:12">
      <x:c r="A366" t="s">
        <x:v>728</x:v>
      </x:c>
      <x:c r="B366" s="6" t="str">
        <x:f>LEFT(G366,SEARCH("]",G366))</x:f>
        <x:v>[9생베03-02]</x:v>
      </x:c>
      <x:c r="C366" s="5" t="str">
        <x:f>MID(G366,SEARCH("]",G366)+1,200)</x:f>
        <x:v>낱말이나 간단하고 쉬운 구,문장을 읽고 의미를 파악한다.</x:v>
      </x:c>
      <x:c r="G366" s="3" t="s">
        <x:v>2059</x:v>
      </x:c>
      <x:c r="K366" s="3"/>
      <x:c r="L366" s="3"/>
    </x:row>
    <x:row r="367" spans="1:12">
      <x:c r="A367" t="s">
        <x:v>728</x:v>
      </x:c>
      <x:c r="B367" s="6" t="str">
        <x:f>LEFT(G367,SEARCH("]",G367))</x:f>
        <x:v>[9생베03-03]</x:v>
      </x:c>
      <x:c r="C367" s="5" t="str">
        <x:f>MID(G367,SEARCH("]",G367)+1,200)</x:f>
        <x:v>간단하고 쉬운 글이나 대화문을 읽고 주요 정보나 주제를 파악한다.</x:v>
      </x:c>
      <x:c r="G367" s="3" t="s">
        <x:v>1640</x:v>
      </x:c>
      <x:c r="K367" s="3"/>
      <x:c r="L367" s="3"/>
    </x:row>
    <x:row r="368" spans="1:12">
      <x:c r="A368" t="s">
        <x:v>728</x:v>
      </x:c>
      <x:c r="B368" s="6" t="str">
        <x:f>LEFT(G368,SEARCH("]",G368))</x:f>
        <x:v>[9생베04-01]</x:v>
      </x:c>
      <x:c r="C368" s="5" t="str">
        <x:f>MID(G368,SEARCH("]",G368)+1,200)</x:f>
        <x:v>낱말이나 간단하고 쉬운 구,문장을 철자와 성조에 유의하여 쓴다.</x:v>
      </x:c>
      <x:c r="G368" s="3" t="s">
        <x:v>1639</x:v>
      </x:c>
      <x:c r="K368" s="3"/>
      <x:c r="L368" s="3"/>
    </x:row>
    <x:row r="369" spans="1:12">
      <x:c r="A369" t="s">
        <x:v>728</x:v>
      </x:c>
      <x:c r="B369" s="6" t="str">
        <x:f>LEFT(G369,SEARCH("]",G369))</x:f>
        <x:v>[9생베04-02]</x:v>
      </x:c>
      <x:c r="C369" s="5" t="str">
        <x:f>MID(G369,SEARCH("]",G369)+1,200)</x:f>
        <x:v>간단하고 쉬운 글이나 대화문을 상황과 어법에 맞게 쓴다.</x:v>
      </x:c>
      <x:c r="G369" s="3" t="s">
        <x:v>2054</x:v>
      </x:c>
      <x:c r="K369" s="3"/>
      <x:c r="L369" s="3"/>
    </x:row>
    <x:row r="370" spans="1:12">
      <x:c r="A370" t="s">
        <x:v>728</x:v>
      </x:c>
      <x:c r="B370" s="6" t="str">
        <x:f>LEFT(G370,SEARCH("]",G370))</x:f>
        <x:v>[9생베04-03]</x:v>
      </x:c>
      <x:c r="C370" s="5" t="str">
        <x:f>MID(G370,SEARCH("]",G370)+1,200)</x:f>
        <x:v>글쓰기에 흥미를 갖고 쓰기 활동에 적극적으로 참여한다.</x:v>
      </x:c>
      <x:c r="G370" s="3" t="s">
        <x:v>2027</x:v>
      </x:c>
      <x:c r="K370" s="3"/>
      <x:c r="L370" s="3"/>
    </x:row>
    <x:row r="371" spans="1:12">
      <x:c r="A371" t="s">
        <x:v>728</x:v>
      </x:c>
      <x:c r="B371" s="6" t="str">
        <x:f>LEFT(G371,SEARCH("]",G371))</x:f>
        <x:v>[9생베05-01]</x:v>
      </x:c>
      <x:c r="C371" s="5" t="str">
        <x:f>MID(G371,SEARCH("]",G371)+1,200)</x:f>
        <x:v>베트남의 개관 및 생활 문화,언어문화,전통문화,예술 문화 등에 대해 이해한다.</x:v>
      </x:c>
      <x:c r="G371" s="3" t="s">
        <x:v>2077</x:v>
      </x:c>
      <x:c r="K371" s="3"/>
      <x:c r="L371" s="3"/>
    </x:row>
    <x:row r="372" spans="1:12">
      <x:c r="A372" t="s">
        <x:v>728</x:v>
      </x:c>
      <x:c r="B372" s="6" t="str">
        <x:f>LEFT(G372,SEARCH("]",G372))</x:f>
        <x:v>[9생베05-02]</x:v>
      </x:c>
      <x:c r="C372" s="5" t="str">
        <x:f>MID(G372,SEARCH("]",G372)+1,200)</x:f>
        <x:v>베트남 문화 내용을 베트남어 의사소통 상황에 활용한다.</x:v>
      </x:c>
      <x:c r="G372" s="3" t="s">
        <x:v>2042</x:v>
      </x:c>
      <x:c r="K372" s="3"/>
      <x:c r="L372" s="3"/>
    </x:row>
    <x:row r="373" spans="1:12">
      <x:c r="A373" t="s">
        <x:v>728</x:v>
      </x:c>
      <x:c r="B373" s="6" t="str">
        <x:f>LEFT(G373,SEARCH("]",G373))</x:f>
        <x:v>[9생베05-03]</x:v>
      </x:c>
      <x:c r="C373" s="5" t="str">
        <x:f>MID(G373,SEARCH("]",G373)+1,200)</x:f>
        <x:v>베트남 문화에 대해 조사하고 정리한다.</x:v>
      </x:c>
      <x:c r="G373" s="3" t="s">
        <x:v>1717</x:v>
      </x:c>
      <x:c r="K373" s="3"/>
      <x:c r="L373" s="3"/>
    </x:row>
    <x:row r="374" spans="1:12">
      <x:c r="A374" t="s">
        <x:v>728</x:v>
      </x:c>
      <x:c r="B374" s="6" t="str">
        <x:f>LEFT(G374,SEARCH("]",G374))</x:f>
        <x:v>[9생베05-04]</x:v>
      </x:c>
      <x:c r="C374" s="5" t="str">
        <x:f>MID(G374,SEARCH("]",G374)+1,200)</x:f>
        <x:v>베트남 문화에 대해 조사⋅정리한 내용을 설명한다.</x:v>
      </x:c>
      <x:c r="G374" s="3" t="s">
        <x:v>1727</x:v>
      </x:c>
      <x:c r="K374" s="3"/>
      <x:c r="L374" s="3"/>
    </x:row>
    <x:row r="375" spans="1:12">
      <x:c r="A375" t="s">
        <x:v>728</x:v>
      </x:c>
      <x:c r="B375" s="6" t="str">
        <x:f>LEFT(G375,SEARCH("]",G375))</x:f>
        <x:v>[9생베05-05]</x:v>
      </x:c>
      <x:c r="C375" s="5" t="str">
        <x:f>MID(G375,SEARCH("]",G375)+1,200)</x:f>
        <x:v>상호문화적 관점에서 한국 문화와 베트남 문화의 공통점과 차이점을 이해한다.</x:v>
      </x:c>
      <x:c r="G375" s="3" t="s">
        <x:v>1830</x:v>
      </x:c>
      <x:c r="K375" s="3"/>
      <x:c r="L375" s="3"/>
    </x:row>
    <x:row r="376" spans="1:12">
      <x:c r="A376" t="s">
        <x:v>723</x:v>
      </x:c>
      <x:c r="B376" s="6" t="str">
        <x:f>LEFT(G376,SEARCH("]",G376))</x:f>
        <x:v>[9생스01-01]</x:v>
      </x:c>
      <x:c r="C376" s="5" t="str">
        <x:f>MID(G376,SEARCH("]",G376)+1,200)</x:f>
        <x:v>발음 규칙에 유의하여 낱말을 식별한다.</x:v>
      </x:c>
      <x:c r="G376" s="3" t="s">
        <x:v>1719</x:v>
      </x:c>
      <x:c r="K376" s="3"/>
      <x:c r="L376" s="3"/>
    </x:row>
    <x:row r="377" spans="1:12">
      <x:c r="A377" t="s">
        <x:v>723</x:v>
      </x:c>
      <x:c r="B377" s="6" t="str">
        <x:f>LEFT(G377,SEARCH("]",G377))</x:f>
        <x:v>[9생스01-02]</x:v>
      </x:c>
      <x:c r="C377" s="5" t="str">
        <x:f>MID(G377,SEARCH("]",G377)+1,200)</x:f>
        <x:v>낱말이나 간단하고 쉬운 구⋅문장을 듣고 의미를 이해한다.</x:v>
      </x:c>
      <x:c r="G377" s="3" t="s">
        <x:v>2032</x:v>
      </x:c>
      <x:c r="K377" s="3"/>
      <x:c r="L377" s="3"/>
    </x:row>
    <x:row r="378" spans="1:12">
      <x:c r="A378" t="s">
        <x:v>723</x:v>
      </x:c>
      <x:c r="B378" s="6" t="str">
        <x:f>LEFT(G378,SEARCH("]",G378))</x:f>
        <x:v>[9생스01-03]</x:v>
      </x:c>
      <x:c r="C378" s="5" t="str">
        <x:f>MID(G378,SEARCH("]",G378)+1,200)</x:f>
        <x:v>간단하고 쉬운 의사소통 표현을 듣고 상황에 맞게 반응한다.</x:v>
      </x:c>
      <x:c r="G378" s="3" t="s">
        <x:v>2031</x:v>
      </x:c>
      <x:c r="K378" s="3"/>
      <x:c r="L378" s="3"/>
    </x:row>
    <x:row r="379" spans="1:12">
      <x:c r="A379" t="s">
        <x:v>723</x:v>
      </x:c>
      <x:c r="B379" s="6" t="str">
        <x:f>LEFT(G379,SEARCH("]",G379))</x:f>
        <x:v>[9생스01-04]</x:v>
      </x:c>
      <x:c r="C379" s="5" t="str">
        <x:f>MID(G379,SEARCH("]",G379)+1,200)</x:f>
        <x:v>간단하고 쉬운 말이나 대화를 듣고 내용을 이해한다.</x:v>
      </x:c>
      <x:c r="G379" s="3" t="s">
        <x:v>1745</x:v>
      </x:c>
      <x:c r="K379" s="3"/>
      <x:c r="L379" s="3"/>
    </x:row>
    <x:row r="380" spans="1:12">
      <x:c r="A380" t="s">
        <x:v>723</x:v>
      </x:c>
      <x:c r="B380" s="6" t="str">
        <x:f>LEFT(G380,SEARCH("]",G380))</x:f>
        <x:v>[9생스02-01]</x:v>
      </x:c>
      <x:c r="C380" s="5" t="str">
        <x:f>MID(G380,SEARCH("]",G380)+1,200)</x:f>
        <x:v>낱말이나 간단하고 쉬운 구,문장을 발음⋅강세⋅억양에 유의하여 말한다.</x:v>
      </x:c>
      <x:c r="G380" s="3" t="s">
        <x:v>1822</x:v>
      </x:c>
      <x:c r="K380" s="3"/>
      <x:c r="L380" s="3"/>
    </x:row>
    <x:row r="381" spans="1:12">
      <x:c r="A381" t="s">
        <x:v>723</x:v>
      </x:c>
      <x:c r="B381" s="6" t="str">
        <x:f>LEFT(G381,SEARCH("]",G381))</x:f>
        <x:v>[9생스02-02]</x:v>
      </x:c>
      <x:c r="C381" s="5" t="str">
        <x:f>MID(G381,SEARCH("]",G381)+1,200)</x:f>
        <x:v>간단하고 쉬운 의사소통 표현을 상황에 맞게 말한다.</x:v>
      </x:c>
      <x:c r="G381" s="3" t="s">
        <x:v>1742</x:v>
      </x:c>
      <x:c r="K381" s="3"/>
      <x:c r="L381" s="3"/>
    </x:row>
    <x:row r="382" spans="1:12">
      <x:c r="A382" t="s">
        <x:v>723</x:v>
      </x:c>
      <x:c r="B382" s="6" t="str">
        <x:f>LEFT(G382,SEARCH("]",G382))</x:f>
        <x:v>[9생스02-03]</x:v>
      </x:c>
      <x:c r="C382" s="5" t="str">
        <x:f>MID(G382,SEARCH("]",G382)+1,200)</x:f>
        <x:v>일상생활에서 접하는 친숙한 대상이나 상황에 대해 간단히 묘사하거나 설명한다.</x:v>
      </x:c>
      <x:c r="G382" s="3" t="s">
        <x:v>2071</x:v>
      </x:c>
      <x:c r="K382" s="3"/>
      <x:c r="L382" s="3"/>
    </x:row>
    <x:row r="383" spans="1:12">
      <x:c r="A383" t="s">
        <x:v>723</x:v>
      </x:c>
      <x:c r="B383" s="6" t="str">
        <x:f>LEFT(G383,SEARCH("]",G383))</x:f>
        <x:v>[9생스02-04]</x:v>
      </x:c>
      <x:c r="C383" s="5" t="str">
        <x:f>MID(G383,SEARCH("]",G383)+1,200)</x:f>
        <x:v>상대방을 존중하며 말하기 활동에 적극적으로 참여한다.</x:v>
      </x:c>
      <x:c r="G383" s="3" t="s">
        <x:v>1728</x:v>
      </x:c>
      <x:c r="K383" s="3"/>
      <x:c r="L383" s="3"/>
    </x:row>
    <x:row r="384" spans="1:12">
      <x:c r="A384" t="s">
        <x:v>723</x:v>
      </x:c>
      <x:c r="B384" s="6" t="str">
        <x:f>LEFT(G384,SEARCH("]",G384))</x:f>
        <x:v>[9생스03-01]</x:v>
      </x:c>
      <x:c r="C384" s="5" t="str">
        <x:f>MID(G384,SEARCH("]",G384)+1,200)</x:f>
        <x:v>낱말이나 간단하고 쉬운 구,문장을 발음⋅강세⋅억양에 유의하여 소리 내어 읽는다.</x:v>
      </x:c>
      <x:c r="G384" s="3" t="s">
        <x:v>2075</x:v>
      </x:c>
      <x:c r="K384" s="3"/>
      <x:c r="L384" s="3"/>
    </x:row>
    <x:row r="385" spans="1:12">
      <x:c r="A385" t="s">
        <x:v>723</x:v>
      </x:c>
      <x:c r="B385" s="6" t="str">
        <x:f>LEFT(G385,SEARCH("]",G385))</x:f>
        <x:v>[9생스03-02]</x:v>
      </x:c>
      <x:c r="C385" s="5" t="str">
        <x:f>MID(G385,SEARCH("]",G385)+1,200)</x:f>
        <x:v>낱말이나 간단하고 쉬운 구,문장을 읽고 의미를 이해한다.</x:v>
      </x:c>
      <x:c r="G385" s="3" t="s">
        <x:v>2026</x:v>
      </x:c>
      <x:c r="K385" s="3"/>
      <x:c r="L385" s="3"/>
    </x:row>
    <x:row r="386" spans="1:12">
      <x:c r="A386" t="s">
        <x:v>723</x:v>
      </x:c>
      <x:c r="B386" s="6" t="str">
        <x:f>LEFT(G386,SEARCH("]",G386))</x:f>
        <x:v>[9생스03-03]</x:v>
      </x:c>
      <x:c r="C386" s="5" t="str">
        <x:f>MID(G386,SEARCH("]",G386)+1,200)</x:f>
        <x:v>간단하고 쉬운 글이나 자료,대화문을 읽고 내용을 이해한다.</x:v>
      </x:c>
      <x:c r="G386" s="3" t="s">
        <x:v>2043</x:v>
      </x:c>
      <x:c r="K386" s="3"/>
      <x:c r="L386" s="3"/>
    </x:row>
    <x:row r="387" spans="1:12">
      <x:c r="A387" t="s">
        <x:v>723</x:v>
      </x:c>
      <x:c r="B387" s="6" t="str">
        <x:f>LEFT(G387,SEARCH("]",G387))</x:f>
        <x:v>[9생스04-01]</x:v>
      </x:c>
      <x:c r="C387" s="5" t="str">
        <x:f>MID(G387,SEARCH("]",G387)+1,200)</x:f>
        <x:v>낱말이나 간단하고 쉬운 구,문장을 받아쓴다.</x:v>
      </x:c>
      <x:c r="G387" s="3" t="s">
        <x:v>1786</x:v>
      </x:c>
      <x:c r="K387" s="3"/>
      <x:c r="L387" s="3"/>
    </x:row>
    <x:row r="388" spans="1:12">
      <x:c r="A388" t="s">
        <x:v>723</x:v>
      </x:c>
      <x:c r="B388" s="6" t="str">
        <x:f>LEFT(G388,SEARCH("]",G388))</x:f>
        <x:v>[9생스04-02]</x:v>
      </x:c>
      <x:c r="C388" s="5" t="str">
        <x:f>MID(G388,SEARCH("]",G388)+1,200)</x:f>
        <x:v>낱말이나 간단하고 쉬운 구,문장을 어법에 맞게 쓴다.</x:v>
      </x:c>
      <x:c r="G388" s="3" t="s">
        <x:v>1746</x:v>
      </x:c>
      <x:c r="K388" s="3"/>
      <x:c r="L388" s="3"/>
    </x:row>
    <x:row r="389" spans="1:12">
      <x:c r="A389" t="s">
        <x:v>723</x:v>
      </x:c>
      <x:c r="B389" s="6" t="str">
        <x:f>LEFT(G389,SEARCH("]",G389))</x:f>
        <x:v>[9생스04-03]</x:v>
      </x:c>
      <x:c r="C389" s="5" t="str">
        <x:f>MID(G389,SEARCH("]",G389)+1,200)</x:f>
        <x:v>간단하고 쉬운 글이나 대화문을 상황과 목적에 맞게 작성한다.</x:v>
      </x:c>
      <x:c r="G389" s="3" t="s">
        <x:v>2053</x:v>
      </x:c>
      <x:c r="K389" s="3"/>
      <x:c r="L389" s="3"/>
    </x:row>
    <x:row r="390" spans="1:12">
      <x:c r="A390" t="s">
        <x:v>723</x:v>
      </x:c>
      <x:c r="B390" s="6" t="str">
        <x:f>LEFT(G390,SEARCH("]",G390))</x:f>
        <x:v>[9생스05-01]</x:v>
      </x:c>
      <x:c r="C390" s="5" t="str">
        <x:f>MID(G390,SEARCH("]",G390)+1,200)</x:f>
        <x:v>스페인어권의 주요 문화 내용을 이해한다.</x:v>
      </x:c>
      <x:c r="G390" s="3" t="s">
        <x:v>1784</x:v>
      </x:c>
      <x:c r="K390" s="3"/>
      <x:c r="L390" s="3"/>
    </x:row>
    <x:row r="391" spans="1:12">
      <x:c r="A391" t="s">
        <x:v>723</x:v>
      </x:c>
      <x:c r="B391" s="6" t="str">
        <x:f>LEFT(G391,SEARCH("]",G391))</x:f>
        <x:v>[9생스05-02]</x:v>
      </x:c>
      <x:c r="C391" s="5" t="str">
        <x:f>MID(G391,SEARCH("]",G391)+1,200)</x:f>
        <x:v>스페인어권의 주요 문화 내용을 스페인어 의사소통 상황에 활용한다.</x:v>
      </x:c>
      <x:c r="G391" s="3" t="s">
        <x:v>1641</x:v>
      </x:c>
      <x:c r="K391" s="3"/>
      <x:c r="L391" s="3"/>
    </x:row>
    <x:row r="392" spans="1:12">
      <x:c r="A392" t="s">
        <x:v>723</x:v>
      </x:c>
      <x:c r="B392" s="6" t="str">
        <x:f>LEFT(G392,SEARCH("]",G392))</x:f>
        <x:v>[9생스05-03]</x:v>
      </x:c>
      <x:c r="C392" s="5" t="str">
        <x:f>MID(G392,SEARCH("]",G392)+1,200)</x:f>
        <x:v>스페인어권의 주요 문화 내용을 조사⋅정리한다.</x:v>
      </x:c>
      <x:c r="G392" s="3" t="s">
        <x:v>1774</x:v>
      </x:c>
      <x:c r="K392" s="3"/>
      <x:c r="L392" s="3"/>
    </x:row>
    <x:row r="393" spans="1:12">
      <x:c r="A393" t="s">
        <x:v>723</x:v>
      </x:c>
      <x:c r="B393" s="6" t="str">
        <x:f>LEFT(G393,SEARCH("]",G393))</x:f>
        <x:v>[9생스05-04]</x:v>
      </x:c>
      <x:c r="C393" s="5" t="str">
        <x:f>MID(G393,SEARCH("]",G393)+1,200)</x:f>
        <x:v>매체를 활용하여 스페인어권의 주요 문화 내용을 설명한다.</x:v>
      </x:c>
      <x:c r="G393" s="3" t="s">
        <x:v>2041</x:v>
      </x:c>
      <x:c r="K393" s="3"/>
      <x:c r="L393" s="3"/>
    </x:row>
    <x:row r="394" spans="1:12">
      <x:c r="A394" t="s">
        <x:v>727</x:v>
      </x:c>
      <x:c r="B394" s="6" t="str">
        <x:f>LEFT(G394,SEARCH("]",G394))</x:f>
        <x:v>[9생아01-01]</x:v>
      </x:c>
      <x:c r="C394" s="5" t="str">
        <x:f>MID(G394,SEARCH("]",G394)+1,200)</x:f>
        <x:v>발음 규칙에 유의하여 듣고 자음과 모음,소리와 철자를 식별한다.</x:v>
      </x:c>
      <x:c r="G394" s="3" t="s">
        <x:v>1644</x:v>
      </x:c>
      <x:c r="K394" s="3"/>
      <x:c r="L394" s="3"/>
    </x:row>
    <x:row r="395" spans="1:12">
      <x:c r="A395" t="s">
        <x:v>727</x:v>
      </x:c>
      <x:c r="B395" s="6" t="str">
        <x:f>LEFT(G395,SEARCH("]",G395))</x:f>
        <x:v>[9생아01-02]</x:v>
      </x:c>
      <x:c r="C395" s="5" t="str">
        <x:f>MID(G395,SEARCH("]",G395)+1,200)</x:f>
        <x:v>낱말,간단하고 쉬운 구,문장,대화를 듣고 의미를 이해한다.</x:v>
      </x:c>
      <x:c r="G395" s="3" t="s">
        <x:v>2024</x:v>
      </x:c>
      <x:c r="K395" s="3"/>
      <x:c r="L395" s="3"/>
    </x:row>
    <x:row r="396" spans="1:12">
      <x:c r="A396" t="s">
        <x:v>727</x:v>
      </x:c>
      <x:c r="B396" s="6" t="str">
        <x:f>LEFT(G396,SEARCH("]",G396))</x:f>
        <x:v>[9생아01-03]</x:v>
      </x:c>
      <x:c r="C396" s="5" t="str">
        <x:f>MID(G396,SEARCH("]",G396)+1,200)</x:f>
        <x:v>일상생활과 관련된 간단하고 쉬운 문장이나 의사소통 표현을 경청하고 적절하게 반응한다.</x:v>
      </x:c>
      <x:c r="G396" s="3" t="s">
        <x:v>96</x:v>
      </x:c>
      <x:c r="K396" s="3"/>
      <x:c r="L396" s="3"/>
    </x:row>
    <x:row r="397" spans="1:12">
      <x:c r="A397" t="s">
        <x:v>727</x:v>
      </x:c>
      <x:c r="B397" s="6" t="str">
        <x:f>LEFT(G397,SEARCH("]",G397))</x:f>
        <x:v>[9생아02-01]</x:v>
      </x:c>
      <x:c r="C397" s="5" t="str">
        <x:f>MID(G397,SEARCH("]",G397)+1,200)</x:f>
        <x:v>발음 규칙에 유의하여 낱말,간단하고 쉬운 구나 문장을 말한다.</x:v>
      </x:c>
      <x:c r="G397" s="3" t="s">
        <x:v>1642</x:v>
      </x:c>
      <x:c r="K397" s="3"/>
      <x:c r="L397" s="3"/>
    </x:row>
    <x:row r="398" spans="1:12">
      <x:c r="A398" t="s">
        <x:v>727</x:v>
      </x:c>
      <x:c r="B398" s="6" t="str">
        <x:f>LEFT(G398,SEARCH("]",G398))</x:f>
        <x:v>[9생아02-02]</x:v>
      </x:c>
      <x:c r="C398" s="5" t="str">
        <x:f>MID(G398,SEARCH("]",G398)+1,200)</x:f>
        <x:v>간단하고 쉬운 의사소통 표현을 사용하여 상황에 맞게 말한다.</x:v>
      </x:c>
      <x:c r="G398" s="3" t="s">
        <x:v>2028</x:v>
      </x:c>
      <x:c r="K398" s="3"/>
      <x:c r="L398" s="3"/>
    </x:row>
    <x:row r="399" spans="1:12">
      <x:c r="A399" t="s">
        <x:v>727</x:v>
      </x:c>
      <x:c r="B399" s="6" t="str">
        <x:f>LEFT(G399,SEARCH("]",G399))</x:f>
        <x:v>[9생아02-03]</x:v>
      </x:c>
      <x:c r="C399" s="5" t="str">
        <x:f>MID(G399,SEARCH("]",G399)+1,200)</x:f>
        <x:v>간단하고 쉬운 구나 문장으로 주변의 대상이나 상황을 묘사하거나 설명한다.</x:v>
      </x:c>
      <x:c r="G399" s="3" t="s">
        <x:v>1836</x:v>
      </x:c>
      <x:c r="K399" s="3"/>
      <x:c r="L399" s="3"/>
    </x:row>
    <x:row r="400" spans="1:12">
      <x:c r="A400" t="s">
        <x:v>727</x:v>
      </x:c>
      <x:c r="B400" s="6" t="str">
        <x:f>LEFT(G400,SEARCH("]",G400))</x:f>
        <x:v>[9생아03-01]</x:v>
      </x:c>
      <x:c r="C400" s="5" t="str">
        <x:f>MID(G400,SEARCH("]",G400)+1,200)</x:f>
        <x:v>낱말,간단하고 쉬운 구나 문장을 발음 규칙에 유의하여 소리 내어 읽는다.</x:v>
      </x:c>
      <x:c r="G400" s="3" t="s">
        <x:v>1839</x:v>
      </x:c>
      <x:c r="K400" s="3"/>
      <x:c r="L400" s="3"/>
    </x:row>
    <x:row r="401" spans="1:12">
      <x:c r="A401" t="s">
        <x:v>727</x:v>
      </x:c>
      <x:c r="B401" s="6" t="str">
        <x:f>LEFT(G401,SEARCH("]",G401))</x:f>
        <x:v>[9생아03-02]</x:v>
      </x:c>
      <x:c r="C401" s="5" t="str">
        <x:f>MID(G401,SEARCH("]",G401)+1,200)</x:f>
        <x:v>낱말,간단하고 쉬운 구나 문장을 읽고 의미를 이해한다.</x:v>
      </x:c>
      <x:c r="G401" s="3" t="s">
        <x:v>2050</x:v>
      </x:c>
      <x:c r="K401" s="3"/>
      <x:c r="L401" s="3"/>
    </x:row>
    <x:row r="402" spans="1:12">
      <x:c r="A402" t="s">
        <x:v>727</x:v>
      </x:c>
      <x:c r="B402" s="6" t="str">
        <x:f>LEFT(G402,SEARCH("]",G402))</x:f>
        <x:v>[9생아03-03]</x:v>
      </x:c>
      <x:c r="C402" s="5" t="str">
        <x:f>MID(G402,SEARCH("]",G402)+1,200)</x:f>
        <x:v>간단하고 쉬운 글이나 대화문을 읽고 핵심어나 대의를 파악한다.</x:v>
      </x:c>
      <x:c r="G402" s="3" t="s">
        <x:v>1643</x:v>
      </x:c>
      <x:c r="K402" s="3"/>
      <x:c r="L402" s="3"/>
    </x:row>
    <x:row r="403" spans="1:12">
      <x:c r="A403" t="s">
        <x:v>727</x:v>
      </x:c>
      <x:c r="B403" s="6" t="str">
        <x:f>LEFT(G403,SEARCH("]",G403))</x:f>
        <x:v>[9생아04-01]</x:v>
      </x:c>
      <x:c r="C403" s="5" t="str">
        <x:f>MID(G403,SEARCH("]",G403)+1,200)</x:f>
        <x:v>자음과 모음,소리와 철자를 식별하여 바르게 쓴다.</x:v>
      </x:c>
      <x:c r="G403" s="3" t="s">
        <x:v>1743</x:v>
      </x:c>
      <x:c r="K403" s="3"/>
      <x:c r="L403" s="3"/>
    </x:row>
    <x:row r="404" spans="1:12">
      <x:c r="A404" t="s">
        <x:v>727</x:v>
      </x:c>
      <x:c r="B404" s="6" t="str">
        <x:f>LEFT(G404,SEARCH("]",G404))</x:f>
        <x:v>[9생아04-02]</x:v>
      </x:c>
      <x:c r="C404" s="5" t="str">
        <x:f>MID(G404,SEARCH("]",G404)+1,200)</x:f>
        <x:v>낱말,간단하고 쉬운 구나 문장을 어법에 맞게 쓴다.</x:v>
      </x:c>
      <x:c r="G404" s="3" t="s">
        <x:v>1747</x:v>
      </x:c>
      <x:c r="K404" s="3"/>
      <x:c r="L404" s="3"/>
    </x:row>
    <x:row r="405" spans="1:12">
      <x:c r="A405" t="s">
        <x:v>727</x:v>
      </x:c>
      <x:c r="B405" s="6" t="str">
        <x:f>LEFT(G405,SEARCH("]",G405))</x:f>
        <x:v>[9생아04-03]</x:v>
      </x:c>
      <x:c r="C405" s="5" t="str">
        <x:f>MID(G405,SEARCH("]",G405)+1,200)</x:f>
        <x:v>간단하고 쉬운 문장을 상황과 목적에 맞게 작성한다.</x:v>
      </x:c>
      <x:c r="G405" s="3" t="s">
        <x:v>1744</x:v>
      </x:c>
      <x:c r="K405" s="3"/>
      <x:c r="L405" s="3"/>
    </x:row>
    <x:row r="406" spans="1:12">
      <x:c r="A406" t="s">
        <x:v>727</x:v>
      </x:c>
      <x:c r="B406" s="6" t="str">
        <x:f>LEFT(G406,SEARCH("]",G406))</x:f>
        <x:v>[9생아05-01]</x:v>
      </x:c>
      <x:c r="C406" s="5" t="str">
        <x:f>MID(G406,SEARCH("]",G406)+1,200)</x:f>
        <x:v>간략한 아랍 문화 내용을 이해한다.</x:v>
      </x:c>
      <x:c r="G406" s="3" t="s">
        <x:v>1720</x:v>
      </x:c>
      <x:c r="K406" s="3"/>
      <x:c r="L406" s="3"/>
    </x:row>
    <x:row r="407" spans="1:12">
      <x:c r="A407" t="s">
        <x:v>727</x:v>
      </x:c>
      <x:c r="B407" s="6" t="str">
        <x:f>LEFT(G407,SEARCH("]",G407))</x:f>
        <x:v>[9생아05-02]</x:v>
      </x:c>
      <x:c r="C407" s="5" t="str">
        <x:f>MID(G407,SEARCH("]",G407)+1,200)</x:f>
        <x:v>간략한 아랍 문화 내용을 조사하고 정리한다.</x:v>
      </x:c>
      <x:c r="G407" s="3" t="s">
        <x:v>1780</x:v>
      </x:c>
      <x:c r="K407" s="3"/>
      <x:c r="L407" s="3"/>
    </x:row>
    <x:row r="408" spans="1:12">
      <x:c r="A408" t="s">
        <x:v>727</x:v>
      </x:c>
      <x:c r="B408" s="6" t="str">
        <x:f>LEFT(G408,SEARCH("]",G408))</x:f>
        <x:v>[9생아05-03]</x:v>
      </x:c>
      <x:c r="C408" s="5" t="str">
        <x:f>MID(G408,SEARCH("]",G408)+1,200)</x:f>
        <x:v>간략한 아랍 문화 내용을 의사소통 상황에 활용한다.</x:v>
      </x:c>
      <x:c r="G408" s="3" t="s">
        <x:v>1749</x:v>
      </x:c>
      <x:c r="K408" s="3"/>
      <x:c r="L408" s="3"/>
    </x:row>
    <x:row r="409" spans="1:12">
      <x:c r="A409" t="s">
        <x:v>727</x:v>
      </x:c>
      <x:c r="B409" s="6" t="str">
        <x:f>LEFT(G409,SEARCH("]",G409))</x:f>
        <x:v>[9생아05-04]</x:v>
      </x:c>
      <x:c r="C409" s="5" t="str">
        <x:f>MID(G409,SEARCH("]",G409)+1,200)</x:f>
        <x:v>상호문화적 관점에서 한국 문화와 아랍 문화의 공통점과 차이점을 이해하고 표현한다.</x:v>
      </x:c>
      <x:c r="G409" s="3" t="s">
        <x:v>2076</x:v>
      </x:c>
      <x:c r="K409" s="3"/>
      <x:c r="L409" s="3"/>
    </x:row>
    <x:row r="410" spans="1:12">
      <x:c r="A410" t="s">
        <x:v>726</x:v>
      </x:c>
      <x:c r="B410" s="6" t="str">
        <x:f>LEFT(G410,SEARCH("]",G410))</x:f>
        <x:v>[9생일01-01]</x:v>
      </x:c>
      <x:c r="C410" s="5" t="str">
        <x:f>MID(G410,SEARCH("]",G410)+1,200)</x:f>
        <x:v>음성적 특징에 유의하여 듣고 문자와 낱말을 식별한다.</x:v>
      </x:c>
      <x:c r="G410" s="3" t="s">
        <x:v>1750</x:v>
      </x:c>
      <x:c r="K410" s="3"/>
      <x:c r="L410" s="3"/>
    </x:row>
    <x:row r="411" spans="1:12">
      <x:c r="A411" t="s">
        <x:v>726</x:v>
      </x:c>
      <x:c r="B411" s="6" t="str">
        <x:f>LEFT(G411,SEARCH("]",G411))</x:f>
        <x:v>[9생일01-02]</x:v>
      </x:c>
      <x:c r="C411" s="5" t="str">
        <x:f>MID(G411,SEARCH("]",G411)+1,200)</x:f>
        <x:v>낱말,간단하고 쉬운 구와 문장을 듣고 의미를 이해한다.</x:v>
      </x:c>
      <x:c r="G411" s="3" t="s">
        <x:v>2036</x:v>
      </x:c>
      <x:c r="K411" s="3"/>
      <x:c r="L411" s="3"/>
    </x:row>
    <x:row r="412" spans="1:12">
      <x:c r="A412" t="s">
        <x:v>726</x:v>
      </x:c>
      <x:c r="B412" s="6" t="str">
        <x:f>LEFT(G412,SEARCH("]",G412))</x:f>
        <x:v>[9생일01-03]</x:v>
      </x:c>
      <x:c r="C412" s="5" t="str">
        <x:f>MID(G412,SEARCH("]",G412)+1,200)</x:f>
        <x:v>일상생활과 관련된 간단하고 쉬운 글이나 대화를 듣고 내용을 파악한다.</x:v>
      </x:c>
      <x:c r="G412" s="3" t="s">
        <x:v>1810</x:v>
      </x:c>
      <x:c r="K412" s="3"/>
      <x:c r="L412" s="3"/>
    </x:row>
    <x:row r="413" spans="1:12">
      <x:c r="A413" t="s">
        <x:v>726</x:v>
      </x:c>
      <x:c r="B413" s="6" t="str">
        <x:f>LEFT(G413,SEARCH("]",G413))</x:f>
        <x:v>[9생일02-01]</x:v>
      </x:c>
      <x:c r="C413" s="5" t="str">
        <x:f>MID(G413,SEARCH("]",G413)+1,200)</x:f>
        <x:v>음성적 특징에 유의하여 낱말,간단하고 쉬운 구나 문장을 말한다.</x:v>
      </x:c>
      <x:c r="G413" s="3" t="s">
        <x:v>1645</x:v>
      </x:c>
      <x:c r="K413" s="3"/>
      <x:c r="L413" s="3"/>
    </x:row>
    <x:row r="414" spans="1:12">
      <x:c r="A414" t="s">
        <x:v>726</x:v>
      </x:c>
      <x:c r="B414" s="6" t="str">
        <x:f>LEFT(G414,SEARCH("]",G414))</x:f>
        <x:v>[9생일02-02]</x:v>
      </x:c>
      <x:c r="C414" s="5" t="str">
        <x:f>MID(G414,SEARCH("]",G414)+1,200)</x:f>
        <x:v>간단하고 쉬운 구나 문장으로 상황을 묘사하거나 설명한다.</x:v>
      </x:c>
      <x:c r="G414" s="3" t="s">
        <x:v>2030</x:v>
      </x:c>
      <x:c r="K414" s="3"/>
      <x:c r="L414" s="3"/>
    </x:row>
    <x:row r="415" spans="1:12">
      <x:c r="A415" t="s">
        <x:v>726</x:v>
      </x:c>
      <x:c r="B415" s="6" t="str">
        <x:f>LEFT(G415,SEARCH("]",G415))</x:f>
        <x:v>[9생일02-03]</x:v>
      </x:c>
      <x:c r="C415" s="5" t="str">
        <x:f>MID(G415,SEARCH("]",G415)+1,200)</x:f>
        <x:v>간단하고 쉬운 의사소통 기본 표현을 활용하여 상황에 맞게 말한다.</x:v>
      </x:c>
      <x:c r="G415" s="3" t="s">
        <x:v>1652</x:v>
      </x:c>
      <x:c r="K415" s="3"/>
      <x:c r="L415" s="3"/>
    </x:row>
    <x:row r="416" spans="1:12">
      <x:c r="A416" t="s">
        <x:v>726</x:v>
      </x:c>
      <x:c r="B416" s="6" t="str">
        <x:f>LEFT(G416,SEARCH("]",G416))</x:f>
        <x:v>[9생일02-04]</x:v>
      </x:c>
      <x:c r="C416" s="5" t="str">
        <x:f>MID(G416,SEARCH("]",G416)+1,200)</x:f>
        <x:v>상대방의 말을 존중하며 대화에 적극적으로 참여한다.</x:v>
      </x:c>
      <x:c r="G416" s="3" t="s">
        <x:v>1751</x:v>
      </x:c>
      <x:c r="K416" s="3"/>
      <x:c r="L416" s="3"/>
    </x:row>
    <x:row r="417" spans="1:12">
      <x:c r="A417" t="s">
        <x:v>726</x:v>
      </x:c>
      <x:c r="B417" s="6" t="str">
        <x:f>LEFT(G417,SEARCH("]",G417))</x:f>
        <x:v>[9생일03-01]</x:v>
      </x:c>
      <x:c r="C417" s="5" t="str">
        <x:f>MID(G417,SEARCH("]",G417)+1,200)</x:f>
        <x:v>음성적 특징에 유의하여 낱말,간단하고 쉬운 구나 문장을 소리 내어 읽는다.</x:v>
      </x:c>
      <x:c r="G417" s="3" t="s">
        <x:v>1826</x:v>
      </x:c>
      <x:c r="K417" s="3"/>
      <x:c r="L417" s="3"/>
    </x:row>
    <x:row r="418" spans="1:12">
      <x:c r="A418" t="s">
        <x:v>726</x:v>
      </x:c>
      <x:c r="B418" s="6" t="str">
        <x:f>LEFT(G418,SEARCH("]",G418))</x:f>
        <x:v>[9생일03-02]</x:v>
      </x:c>
      <x:c r="C418" s="5" t="str">
        <x:f>MID(G418,SEARCH("]",G418)+1,200)</x:f>
        <x:v>낱말,간단하고 쉬운 구나 문장을 읽고 의미를 이해한다.</x:v>
      </x:c>
      <x:c r="G418" s="3" t="s">
        <x:v>2037</x:v>
      </x:c>
      <x:c r="K418" s="3"/>
      <x:c r="L418" s="3"/>
    </x:row>
    <x:row r="419" spans="1:12">
      <x:c r="A419" t="s">
        <x:v>726</x:v>
      </x:c>
      <x:c r="B419" s="6" t="str">
        <x:f>LEFT(G419,SEARCH("]",G419))</x:f>
        <x:v>[9생일03-03]</x:v>
      </x:c>
      <x:c r="C419" s="5" t="str">
        <x:f>MID(G419,SEARCH("]",G419)+1,200)</x:f>
        <x:v>간단하고 쉬운 대화문이나 글,디지털 텍스트를 읽고 정보를 파악한다.</x:v>
      </x:c>
      <x:c r="G419" s="3" t="s">
        <x:v>1646</x:v>
      </x:c>
      <x:c r="K419" s="3"/>
      <x:c r="L419" s="3"/>
    </x:row>
    <x:row r="420" spans="1:12">
      <x:c r="A420" t="s">
        <x:v>726</x:v>
      </x:c>
      <x:c r="B420" s="6" t="str">
        <x:f>LEFT(G420,SEARCH("]",G420))</x:f>
        <x:v>[9생일04-01]</x:v>
      </x:c>
      <x:c r="C420" s="5" t="str">
        <x:f>MID(G420,SEARCH("]",G420)+1,200)</x:f>
        <x:v>가나와 낱말을 바르게 쓴다.</x:v>
      </x:c>
      <x:c r="G420" s="3" t="s">
        <x:v>1712</x:v>
      </x:c>
      <x:c r="K420" s="3"/>
      <x:c r="L420" s="3"/>
    </x:row>
    <x:row r="421" spans="1:12">
      <x:c r="A421" t="s">
        <x:v>726</x:v>
      </x:c>
      <x:c r="B421" s="6" t="str">
        <x:f>LEFT(G421,SEARCH("]",G421))</x:f>
        <x:v>[9생일04-02]</x:v>
      </x:c>
      <x:c r="C421" s="5" t="str">
        <x:f>MID(G421,SEARCH("]",G421)+1,200)</x:f>
        <x:v>간단하고 쉬운 구나 문장을 표기법과 어법에 맞게 쓴다.</x:v>
      </x:c>
      <x:c r="G421" s="3" t="s">
        <x:v>2044</x:v>
      </x:c>
      <x:c r="K421" s="3"/>
      <x:c r="L421" s="3"/>
    </x:row>
    <x:row r="422" spans="1:12">
      <x:c r="A422" t="s">
        <x:v>726</x:v>
      </x:c>
      <x:c r="B422" s="6" t="str">
        <x:f>LEFT(G422,SEARCH("]",G422))</x:f>
        <x:v>[9생일04-03]</x:v>
      </x:c>
      <x:c r="C422" s="5" t="str">
        <x:f>MID(G422,SEARCH("]",G422)+1,200)</x:f>
        <x:v>간단하고 쉬운 대화문이나 글을 상황과 목적에 맞게 작성한다.</x:v>
      </x:c>
      <x:c r="G422" s="3" t="s">
        <x:v>2038</x:v>
      </x:c>
      <x:c r="K422" s="3"/>
      <x:c r="L422" s="3"/>
    </x:row>
    <x:row r="423" spans="1:12">
      <x:c r="A423" t="s">
        <x:v>726</x:v>
      </x:c>
      <x:c r="B423" s="6" t="str">
        <x:f>LEFT(G423,SEARCH("]",G423))</x:f>
        <x:v>[9생일05-01]</x:v>
      </x:c>
      <x:c r="C423" s="5" t="str">
        <x:f>MID(G423,SEARCH("]",G423)+1,200)</x:f>
        <x:v>일본 문화 내용을 이해한다.</x:v>
      </x:c>
      <x:c r="G423" s="3" t="s">
        <x:v>1711</x:v>
      </x:c>
      <x:c r="K423" s="3"/>
      <x:c r="L423" s="3"/>
    </x:row>
    <x:row r="424" spans="1:12">
      <x:c r="A424" t="s">
        <x:v>726</x:v>
      </x:c>
      <x:c r="B424" s="6" t="str">
        <x:f>LEFT(G424,SEARCH("]",G424))</x:f>
        <x:v>[9생일05-02]</x:v>
      </x:c>
      <x:c r="C424" s="5" t="str">
        <x:f>MID(G424,SEARCH("]",G424)+1,200)</x:f>
        <x:v>일본 문화 내용을 조사⋅정리하여 보고서를 작성한다.</x:v>
      </x:c>
      <x:c r="G424" s="3" t="s">
        <x:v>1752</x:v>
      </x:c>
      <x:c r="K424" s="3"/>
      <x:c r="L424" s="3"/>
    </x:row>
    <x:row r="425" spans="1:12">
      <x:c r="A425" t="s">
        <x:v>726</x:v>
      </x:c>
      <x:c r="B425" s="6" t="str">
        <x:f>LEFT(G425,SEARCH("]",G425))</x:f>
        <x:v>[9생일05-03]</x:v>
      </x:c>
      <x:c r="C425" s="5" t="str">
        <x:f>MID(G425,SEARCH("]",G425)+1,200)</x:f>
        <x:v>한일 문화의 공통점과 차이점에 대해 상호문화적 관점에서 온오프라인으로 의견을 공유한다.</x:v>
      </x:c>
      <x:c r="G425" s="3" t="s">
        <x:v>103</x:v>
      </x:c>
      <x:c r="K425" s="3"/>
      <x:c r="L425" s="3"/>
    </x:row>
    <x:row r="426" spans="1:12">
      <x:c r="A426" t="s">
        <x:v>726</x:v>
      </x:c>
      <x:c r="B426" s="6" t="str">
        <x:f>LEFT(G426,SEARCH("]",G426))</x:f>
        <x:v>[9생일05-04]</x:v>
      </x:c>
      <x:c r="C426" s="5" t="str">
        <x:f>MID(G426,SEARCH("]",G426)+1,200)</x:f>
        <x:v>언어문화⋅비언어 문화를 포함한 일본 문화 내용을 의사소통 상황에 활용한다.</x:v>
      </x:c>
      <x:c r="G426" s="3" t="s">
        <x:v>1840</x:v>
      </x:c>
      <x:c r="K426" s="3"/>
      <x:c r="L426" s="3"/>
    </x:row>
    <x:row r="427" spans="1:12">
      <x:c r="A427" t="s">
        <x:v>726</x:v>
      </x:c>
      <x:c r="B427" s="6" t="str">
        <x:f>LEFT(G427,SEARCH("]",G427))</x:f>
        <x:v>[9생일05-05]</x:v>
      </x:c>
      <x:c r="C427" s="5" t="str">
        <x:f>MID(G427,SEARCH("]",G427)+1,200)</x:f>
        <x:v>일본 문화에 대해 호기심을 가지고 수업이나 과제 활동에 적극적으로 참여한다.</x:v>
      </x:c>
      <x:c r="G427" s="3" t="s">
        <x:v>2072</x:v>
      </x:c>
      <x:c r="K427" s="3"/>
      <x:c r="L427" s="3"/>
    </x:row>
    <x:row r="428" spans="1:12">
      <x:c r="A428" t="s">
        <x:v>722</x:v>
      </x:c>
      <x:c r="B428" s="6" t="str">
        <x:f>LEFT(G428,SEARCH("]",G428))</x:f>
        <x:v>[9생중01-01]</x:v>
      </x:c>
      <x:c r="C428" s="5" t="str">
        <x:f>MID(G428,SEARCH("]",G428)+1,200)</x:f>
        <x:v>발음을 듣고 성모,운모,성조를 변별한다.</x:v>
      </x:c>
      <x:c r="G428" s="3" t="s">
        <x:v>1793</x:v>
      </x:c>
      <x:c r="K428" s="3"/>
      <x:c r="L428" s="3"/>
    </x:row>
    <x:row r="429" spans="1:12">
      <x:c r="A429" t="s">
        <x:v>722</x:v>
      </x:c>
      <x:c r="B429" s="6" t="str">
        <x:f>LEFT(G429,SEARCH("]",G429))</x:f>
        <x:v>[9생중01-02]</x:v>
      </x:c>
      <x:c r="C429" s="5" t="str">
        <x:f>MID(G429,SEARCH("]",G429)+1,200)</x:f>
        <x:v>기초적인 낱말이나 구,간단하고 쉬운 문장을 듣고 의미를 파악한다.</x:v>
      </x:c>
      <x:c r="G429" s="3" t="s">
        <x:v>1647</x:v>
      </x:c>
      <x:c r="K429" s="3"/>
      <x:c r="L429" s="3"/>
    </x:row>
    <x:row r="430" spans="1:12">
      <x:c r="A430" t="s">
        <x:v>722</x:v>
      </x:c>
      <x:c r="B430" s="6" t="str">
        <x:f>LEFT(G430,SEARCH("]",G430))</x:f>
        <x:v>[9생중01-03]</x:v>
      </x:c>
      <x:c r="C430" s="5" t="str">
        <x:f>MID(G430,SEARCH("]",G430)+1,200)</x:f>
        <x:v>일상생활과 관련된 짧고 쉬운 의사소통 표현을 듣고 의미를 파악한다.</x:v>
      </x:c>
      <x:c r="G430" s="3" t="s">
        <x:v>1651</x:v>
      </x:c>
      <x:c r="K430" s="3"/>
      <x:c r="L430" s="3"/>
    </x:row>
    <x:row r="431" spans="1:12">
      <x:c r="A431" t="s">
        <x:v>722</x:v>
      </x:c>
      <x:c r="B431" s="6" t="str">
        <x:f>LEFT(G431,SEARCH("]",G431))</x:f>
        <x:v>[9생중01-04]</x:v>
      </x:c>
      <x:c r="C431" s="5" t="str">
        <x:f>MID(G431,SEARCH("]",G431)+1,200)</x:f>
        <x:v>간단하고 쉬운 글이나 대화를 듣고 말의 의도를 추측하거나 그에 상응하는 반응을 보인다.</x:v>
      </x:c>
      <x:c r="G431" s="3" t="s">
        <x:v>90</x:v>
      </x:c>
      <x:c r="K431" s="3"/>
      <x:c r="L431" s="3"/>
    </x:row>
    <x:row r="432" spans="1:12">
      <x:c r="A432" t="s">
        <x:v>722</x:v>
      </x:c>
      <x:c r="B432" s="6" t="str">
        <x:f>LEFT(G432,SEARCH("]",G432))</x:f>
        <x:v>[9생중02-01]</x:v>
      </x:c>
      <x:c r="C432" s="5" t="str">
        <x:f>MID(G432,SEARCH("]",G432)+1,200)</x:f>
        <x:v>발음을 듣고 따라 말하거나 기초적인 의사소통 표현을 발음에 유의하여 말한다.</x:v>
      </x:c>
      <x:c r="G432" s="3" t="s">
        <x:v>2078</x:v>
      </x:c>
      <x:c r="K432" s="3"/>
      <x:c r="L432" s="3"/>
    </x:row>
    <x:row r="433" spans="1:12">
      <x:c r="A433" t="s">
        <x:v>722</x:v>
      </x:c>
      <x:c r="B433" s="6" t="str">
        <x:f>LEFT(G433,SEARCH("]",G433))</x:f>
        <x:v>[9생중02-02]</x:v>
      </x:c>
      <x:c r="C433" s="5" t="str">
        <x:f>MID(G433,SEARCH("]",G433)+1,200)</x:f>
        <x:v>기초적인 낱말이나 구,간단하고 쉬운 문장을 활용하여 질문하거나 대답한다.</x:v>
      </x:c>
      <x:c r="G433" s="3" t="s">
        <x:v>1828</x:v>
      </x:c>
      <x:c r="K433" s="3"/>
      <x:c r="L433" s="3"/>
    </x:row>
    <x:row r="434" spans="1:12">
      <x:c r="A434" t="s">
        <x:v>722</x:v>
      </x:c>
      <x:c r="B434" s="6" t="str">
        <x:f>LEFT(G434,SEARCH("]",G434))</x:f>
        <x:v>[9생중02-03]</x:v>
      </x:c>
      <x:c r="C434" s="5" t="str">
        <x:f>MID(G434,SEARCH("]",G434)+1,200)</x:f>
        <x:v>간단한 의사소통 표현을 상황에 맞게 자신감을 가지고 적극적으로 말한다.</x:v>
      </x:c>
      <x:c r="G434" s="3" t="s">
        <x:v>1815</x:v>
      </x:c>
      <x:c r="K434" s="3"/>
      <x:c r="L434" s="3"/>
    </x:row>
    <x:row r="435" spans="1:12">
      <x:c r="A435" t="s">
        <x:v>722</x:v>
      </x:c>
      <x:c r="B435" s="6" t="str">
        <x:f>LEFT(G435,SEARCH("]",G435))</x:f>
        <x:v>[9생중03-01]</x:v>
      </x:c>
      <x:c r="C435" s="5" t="str">
        <x:f>MID(G435,SEARCH("]",G435)+1,200)</x:f>
        <x:v>한어병음이나 기초적인 한자를 식별하고 소리 내어 읽는다.</x:v>
      </x:c>
      <x:c r="G435" s="3" t="s">
        <x:v>2051</x:v>
      </x:c>
      <x:c r="K435" s="3"/>
      <x:c r="L435" s="3"/>
    </x:row>
    <x:row r="436" spans="1:12">
      <x:c r="A436" t="s">
        <x:v>722</x:v>
      </x:c>
      <x:c r="B436" s="6" t="str">
        <x:f>LEFT(G436,SEARCH("]",G436))</x:f>
        <x:v>[9생중03-02]</x:v>
      </x:c>
      <x:c r="C436" s="5" t="str">
        <x:f>MID(G436,SEARCH("]",G436)+1,200)</x:f>
        <x:v>기초적인 낱말,구,간단하고 쉬운 문장을 발음에 유의하여 읽고 의미를 파악한다.</x:v>
      </x:c>
      <x:c r="G436" s="3" t="s">
        <x:v>2073</x:v>
      </x:c>
      <x:c r="K436" s="3"/>
      <x:c r="L436" s="3"/>
    </x:row>
    <x:row r="437" spans="1:12">
      <x:c r="A437" t="s">
        <x:v>722</x:v>
      </x:c>
      <x:c r="B437" s="6" t="str">
        <x:f>LEFT(G437,SEARCH("]",G437))</x:f>
        <x:v>[9생중03-03]</x:v>
      </x:c>
      <x:c r="C437" s="5" t="str">
        <x:f>MID(G437,SEARCH("]",G437)+1,200)</x:f>
        <x:v>간단하고 쉬운 글,대화문,디지털 매체상의 자료 등을 읽고 정보 또는 대의를 파악한다.</x:v>
      </x:c>
      <x:c r="G437" s="3" t="s">
        <x:v>99</x:v>
      </x:c>
      <x:c r="K437" s="3"/>
      <x:c r="L437" s="3"/>
    </x:row>
    <x:row r="438" spans="1:12">
      <x:c r="A438" t="s">
        <x:v>722</x:v>
      </x:c>
      <x:c r="B438" s="6" t="str">
        <x:f>LEFT(G438,SEARCH("]",G438))</x:f>
        <x:v>[9생중04-01]</x:v>
      </x:c>
      <x:c r="C438" s="5" t="str">
        <x:f>MID(G438,SEARCH("]",G438)+1,200)</x:f>
        <x:v>기초적인 낱말이나 구,간단하고 쉬운 문장을 한어병음이나 한자로 쓴다.</x:v>
      </x:c>
      <x:c r="G438" s="3" t="s">
        <x:v>1811</x:v>
      </x:c>
      <x:c r="K438" s="3"/>
      <x:c r="L438" s="3"/>
    </x:row>
    <x:row r="439" spans="1:12">
      <x:c r="A439" t="s">
        <x:v>722</x:v>
      </x:c>
      <x:c r="B439" s="6" t="str">
        <x:f>LEFT(G439,SEARCH("]",G439))</x:f>
        <x:v>[9생중04-02]</x:v>
      </x:c>
      <x:c r="C439" s="5" t="str">
        <x:f>MID(G439,SEARCH("]",G439)+1,200)</x:f>
        <x:v>이름이나 숫자 등 간단한 정보를 한어병음이나 한자로 기입한다.</x:v>
      </x:c>
      <x:c r="G439" s="3" t="s">
        <x:v>1648</x:v>
      </x:c>
      <x:c r="K439" s="3"/>
      <x:c r="L439" s="3"/>
    </x:row>
    <x:row r="440" spans="1:12">
      <x:c r="A440" t="s">
        <x:v>722</x:v>
      </x:c>
      <x:c r="B440" s="6" t="str">
        <x:f>LEFT(G440,SEARCH("]",G440))</x:f>
        <x:v>[9생중04-03]</x:v>
      </x:c>
      <x:c r="C440" s="5" t="str">
        <x:f>MID(G440,SEARCH("]",G440)+1,200)</x:f>
        <x:v>낱말의 용법과 기본 어순에 유의하여 상황이나 목적에 맞게 짧고 쉬운 문장을 작성한다.</x:v>
      </x:c>
      <x:c r="G440" s="3" t="s">
        <x:v>98</x:v>
      </x:c>
      <x:c r="K440" s="3"/>
      <x:c r="L440" s="3"/>
    </x:row>
    <x:row r="441" spans="1:12">
      <x:c r="A441" t="s">
        <x:v>722</x:v>
      </x:c>
      <x:c r="B441" s="6" t="str">
        <x:f>LEFT(G441,SEARCH("]",G441))</x:f>
        <x:v>[9생중05-01]</x:v>
      </x:c>
      <x:c r="C441" s="5" t="str">
        <x:f>MID(G441,SEARCH("]",G441)+1,200)</x:f>
        <x:v>기본적인 중국 문화 내용을 이해하여 중국어 의사소통 상황에 활용한다.</x:v>
      </x:c>
      <x:c r="G441" s="3" t="s">
        <x:v>1812</x:v>
      </x:c>
      <x:c r="K441" s="3"/>
      <x:c r="L441" s="3"/>
    </x:row>
    <x:row r="442" spans="1:12">
      <x:c r="A442" t="s">
        <x:v>722</x:v>
      </x:c>
      <x:c r="B442" s="6" t="str">
        <x:f>LEFT(G442,SEARCH("]",G442))</x:f>
        <x:v>[9생중05-02]</x:v>
      </x:c>
      <x:c r="C442" s="5" t="str">
        <x:f>MID(G442,SEARCH("]",G442)+1,200)</x:f>
        <x:v>기본적인 중국 문화 내용을 조사하고 한중 문화를 비교하여 문화적 다양성을 이해한다.</x:v>
      </x:c>
      <x:c r="G442" s="3" t="s">
        <x:v>86</x:v>
      </x:c>
      <x:c r="K442" s="3"/>
      <x:c r="L442" s="3"/>
    </x:row>
    <x:row r="443" spans="1:12">
      <x:c r="A443" t="s">
        <x:v>722</x:v>
      </x:c>
      <x:c r="B443" s="6" t="str">
        <x:f>LEFT(G443,SEARCH("]",G443))</x:f>
        <x:v>[9생중05-03]</x:v>
      </x:c>
      <x:c r="C443" s="5" t="str">
        <x:f>MID(G443,SEARCH("]",G443)+1,200)</x:f>
        <x:v>중국 문화를 직간접적으로 체험하고,다양한 매체를 활용하여 정보를 공유한다.</x:v>
      </x:c>
      <x:c r="G443" s="3" t="s">
        <x:v>1827</x:v>
      </x:c>
      <x:c r="K443" s="3"/>
      <x:c r="L443" s="3"/>
    </x:row>
    <x:row r="444" spans="1:12">
      <x:c r="A444" t="s">
        <x:v>722</x:v>
      </x:c>
      <x:c r="B444" s="6" t="str">
        <x:f>LEFT(G444,SEARCH("]",G444))</x:f>
        <x:v>[9생중05-04]</x:v>
      </x:c>
      <x:c r="C444" s="5" t="str">
        <x:f>MID(G444,SEARCH("]",G444)+1,200)</x:f>
        <x:v>중국 문화에 대해 호기심을 갖고 수업이나 과제 활동에 적극적으로 참여한다.</x:v>
      </x:c>
      <x:c r="G444" s="3" t="s">
        <x:v>1809</x:v>
      </x:c>
      <x:c r="K444" s="3"/>
      <x:c r="L444" s="3"/>
    </x:row>
    <x:row r="445" spans="1:12">
      <x:c r="A445" t="s">
        <x:v>36</x:v>
      </x:c>
      <x:c r="B445" s="6" t="str">
        <x:f>LEFT(G445,SEARCH("]",G445))</x:f>
        <x:v>[9수01-01]</x:v>
      </x:c>
      <x:c r="C445" s="5" t="str">
        <x:f>MID(G445,SEARCH("]",G445)+1,200)</x:f>
        <x:v>소인수분해의 뜻을 알고,자연수를 소인수분해 할 수 있다.</x:v>
      </x:c>
      <x:c r="G445" s="3" t="s">
        <x:v>2040</x:v>
      </x:c>
      <x:c r="K445" s="3"/>
      <x:c r="L445" s="3"/>
    </x:row>
    <x:row r="446" spans="1:12">
      <x:c r="A446" t="s">
        <x:v>36</x:v>
      </x:c>
      <x:c r="B446" s="6" t="str">
        <x:f>LEFT(G446,SEARCH("]",G446))</x:f>
        <x:v>[9수01-02]</x:v>
      </x:c>
      <x:c r="C446" s="5" t="str">
        <x:f>MID(G446,SEARCH("]",G446)+1,200)</x:f>
        <x:v>소인수분해를 이용하여 최대공약수와 최소공배수를 구할 수 있다.</x:v>
      </x:c>
      <x:c r="G446" s="3" t="s">
        <x:v>2045</x:v>
      </x:c>
      <x:c r="K446" s="3"/>
      <x:c r="L446" s="3"/>
    </x:row>
    <x:row r="447" spans="1:12" ht="32.75">
      <x:c r="A447" t="s">
        <x:v>36</x:v>
      </x:c>
      <x:c r="B447" s="6" t="str">
        <x:f>LEFT(G447,SEARCH("]",G447))</x:f>
        <x:v>[9수01-03]</x:v>
      </x:c>
      <x:c r="C447" s="5" t="str">
        <x:f>MID(G447,SEARCH("]",G447)+1,200)</x:f>
        <x:v>다양한 상황을 이용하여 음수의 필요성을 인식하고,양수와 음수,정수와 유리수의개념을 이해한다.</x:v>
      </x:c>
      <x:c r="G447" s="3" t="s">
        <x:v>2014</x:v>
      </x:c>
      <x:c r="K447" s="3"/>
      <x:c r="L447" s="3"/>
    </x:row>
    <x:row r="448" spans="1:12">
      <x:c r="A448" t="s">
        <x:v>36</x:v>
      </x:c>
      <x:c r="B448" s="6" t="str">
        <x:f>LEFT(G448,SEARCH("]",G448))</x:f>
        <x:v>[9수01-04]</x:v>
      </x:c>
      <x:c r="C448" s="5" t="str">
        <x:f>MID(G448,SEARCH("]",G448)+1,200)</x:f>
        <x:v>정수와 유리수의 대소 관계를 판단할 수 있다.</x:v>
      </x:c>
      <x:c r="G448" s="3" t="s">
        <x:v>1795</x:v>
      </x:c>
      <x:c r="K448" s="3"/>
      <x:c r="L448" s="3"/>
    </x:row>
    <x:row r="449" spans="1:12">
      <x:c r="A449" t="s">
        <x:v>36</x:v>
      </x:c>
      <x:c r="B449" s="6" t="str">
        <x:f>LEFT(G449,SEARCH("]",G449))</x:f>
        <x:v>[9수01-05]</x:v>
      </x:c>
      <x:c r="C449" s="5" t="str">
        <x:f>MID(G449,SEARCH("]",G449)+1,200)</x:f>
        <x:v>정수와 유리수의 사칙계산의 원리를 이해하고,그 계산을 할 수 있다.</x:v>
      </x:c>
      <x:c r="G449" s="3" t="s">
        <x:v>1655</x:v>
      </x:c>
      <x:c r="K449" s="3"/>
      <x:c r="L449" s="3"/>
    </x:row>
    <x:row r="450" spans="1:12">
      <x:c r="A450" t="s">
        <x:v>36</x:v>
      </x:c>
      <x:c r="B450" s="6" t="str">
        <x:f>LEFT(G450,SEARCH("]",G450))</x:f>
        <x:v>[9수01-06]</x:v>
      </x:c>
      <x:c r="C450" s="5" t="str">
        <x:f>MID(G450,SEARCH("]",G450)+1,200)</x:f>
        <x:v>순환소수의 뜻을 알고,유리수와 순환소수의 관계를 설명할 수 있다.</x:v>
      </x:c>
      <x:c r="G450" s="3" t="s">
        <x:v>1649</x:v>
      </x:c>
      <x:c r="K450" s="3"/>
      <x:c r="L450" s="3"/>
    </x:row>
    <x:row r="451" spans="1:12">
      <x:c r="A451" t="s">
        <x:v>36</x:v>
      </x:c>
      <x:c r="B451" s="6" t="str">
        <x:f>LEFT(G451,SEARCH("]",G451))</x:f>
        <x:v>[9수01-07]</x:v>
      </x:c>
      <x:c r="C451" s="5" t="str">
        <x:f>MID(G451,SEARCH("]",G451)+1,200)</x:f>
        <x:v>제곱근의 뜻과 성질을 알고,제곱근의 대소 관계를 판단할 수 있다.</x:v>
      </x:c>
      <x:c r="G451" s="3" t="s">
        <x:v>1656</x:v>
      </x:c>
      <x:c r="K451" s="3"/>
      <x:c r="L451" s="3"/>
    </x:row>
    <x:row r="452" spans="1:12">
      <x:c r="A452" t="s">
        <x:v>36</x:v>
      </x:c>
      <x:c r="B452" s="6" t="str">
        <x:f>LEFT(G452,SEARCH("]",G452))</x:f>
        <x:v>[9수01-08]</x:v>
      </x:c>
      <x:c r="C452" s="5" t="str">
        <x:f>MID(G452,SEARCH("]",G452)+1,200)</x:f>
        <x:v>무리수의 개념을 이해하고,무리수의 유용성을 인식할 수 있다.</x:v>
      </x:c>
      <x:c r="G452" s="3" t="s">
        <x:v>2046</x:v>
      </x:c>
      <x:c r="K452" s="3"/>
      <x:c r="L452" s="3"/>
    </x:row>
    <x:row r="453" spans="1:12">
      <x:c r="A453" t="s">
        <x:v>36</x:v>
      </x:c>
      <x:c r="B453" s="6" t="str">
        <x:f>LEFT(G453,SEARCH("]",G453))</x:f>
        <x:v>[9수01-09]</x:v>
      </x:c>
      <x:c r="C453" s="5" t="str">
        <x:f>MID(G453,SEARCH("]",G453)+1,200)</x:f>
        <x:v>실수의 대소 관계를 판단하고 설명할 수 있다.</x:v>
      </x:c>
      <x:c r="G453" s="3" t="s">
        <x:v>1777</x:v>
      </x:c>
      <x:c r="K453" s="3"/>
      <x:c r="L453" s="3"/>
    </x:row>
    <x:row r="454" spans="1:12">
      <x:c r="A454" t="s">
        <x:v>36</x:v>
      </x:c>
      <x:c r="B454" s="6" t="str">
        <x:f>LEFT(G454,SEARCH("]",G454))</x:f>
        <x:v>[9수01-10]</x:v>
      </x:c>
      <x:c r="C454" s="5" t="str">
        <x:f>MID(G454,SEARCH("]",G454)+1,200)</x:f>
        <x:v>근호를 포함한 식의 사칙계산의 원리를 이해하고,그 계산을 할 수 있다.</x:v>
      </x:c>
      <x:c r="G454" s="3" t="s">
        <x:v>1813</x:v>
      </x:c>
      <x:c r="K454" s="3"/>
      <x:c r="L454" s="3"/>
    </x:row>
    <x:row r="455" spans="1:12">
      <x:c r="A455" t="s">
        <x:v>36</x:v>
      </x:c>
      <x:c r="B455" s="6" t="str">
        <x:f>LEFT(G455,SEARCH("]",G455))</x:f>
        <x:v>[9수02-01]</x:v>
      </x:c>
      <x:c r="C455" s="5" t="str">
        <x:f>MID(G455,SEARCH("]",G455)+1,200)</x:f>
        <x:v>다양한 상황을 문자를 사용한 식으로 나타내어 그 유용성을 인식하고,식의 값을 구할 수 있다.</x:v>
      </x:c>
      <x:c r="G455" s="3" t="s">
        <x:v>2012</x:v>
      </x:c>
      <x:c r="K455" s="3"/>
      <x:c r="L455" s="3"/>
    </x:row>
    <x:row r="456" spans="1:12">
      <x:c r="A456" t="s">
        <x:v>36</x:v>
      </x:c>
      <x:c r="B456" s="6" t="str">
        <x:f>LEFT(G456,SEARCH("]",G456))</x:f>
        <x:v>[9수02-02]</x:v>
      </x:c>
      <x:c r="C456" s="5" t="str">
        <x:f>MID(G456,SEARCH("]",G456)+1,200)</x:f>
        <x:v>일차식의 덧셈과 뺄셈의 원리를 이해하고,그 계산을 할 수 있다.</x:v>
      </x:c>
      <x:c r="G456" s="3" t="s">
        <x:v>1650</x:v>
      </x:c>
      <x:c r="K456" s="3"/>
      <x:c r="L456" s="3"/>
    </x:row>
    <x:row r="457" spans="1:12">
      <x:c r="A457" t="s">
        <x:v>36</x:v>
      </x:c>
      <x:c r="B457" s="6" t="str">
        <x:f>LEFT(G457,SEARCH("]",G457))</x:f>
        <x:v>[9수02-03]</x:v>
      </x:c>
      <x:c r="C457" s="5" t="str">
        <x:f>MID(G457,SEARCH("]",G457)+1,200)</x:f>
        <x:v>방정식과 그 해의 뜻을 알고,등식의 성질을 설명할 수 있다.</x:v>
      </x:c>
      <x:c r="G457" s="3" t="s">
        <x:v>2047</x:v>
      </x:c>
      <x:c r="K457" s="3"/>
      <x:c r="L457" s="3"/>
    </x:row>
    <x:row r="458" spans="1:12">
      <x:c r="A458" t="s">
        <x:v>36</x:v>
      </x:c>
      <x:c r="B458" s="6" t="str">
        <x:f>LEFT(G458,SEARCH("]",G458))</x:f>
        <x:v>[9수02-04]</x:v>
      </x:c>
      <x:c r="C458" s="5" t="str">
        <x:f>MID(G458,SEARCH("]",G458)+1,200)</x:f>
        <x:v>일차방정식을 풀 수 있고,이를 활용하여 문제를 해결할 수 있다.</x:v>
      </x:c>
      <x:c r="G458" s="3" t="s">
        <x:v>1653</x:v>
      </x:c>
      <x:c r="K458" s="3"/>
      <x:c r="L458" s="3"/>
    </x:row>
    <x:row r="459" spans="1:12">
      <x:c r="A459" t="s">
        <x:v>36</x:v>
      </x:c>
      <x:c r="B459" s="6" t="str">
        <x:f>LEFT(G459,SEARCH("]",G459))</x:f>
        <x:v>[9수02-05]</x:v>
      </x:c>
      <x:c r="C459" s="5" t="str">
        <x:f>MID(G459,SEARCH("]",G459)+1,200)</x:f>
        <x:v>순서쌍과 좌표를 이해하고,그 편리함을 인식할 수 있다.</x:v>
      </x:c>
      <x:c r="G459" s="3" t="s">
        <x:v>1753</x:v>
      </x:c>
      <x:c r="K459" s="3"/>
      <x:c r="L459" s="3"/>
    </x:row>
    <x:row r="460" spans="1:12">
      <x:c r="A460" t="s">
        <x:v>36</x:v>
      </x:c>
      <x:c r="B460" s="6" t="str">
        <x:f>LEFT(G460,SEARCH("]",G460))</x:f>
        <x:v>[9수02-06]</x:v>
      </x:c>
      <x:c r="C460" s="5" t="str">
        <x:f>MID(G460,SEARCH("]",G460)+1,200)</x:f>
        <x:v>다양한 상황을 그래프로 나타내고,주어진 그래프를 해석할 수 있다.</x:v>
      </x:c>
      <x:c r="G460" s="3" t="s">
        <x:v>1657</x:v>
      </x:c>
      <x:c r="K460" s="3"/>
      <x:c r="L460" s="3"/>
    </x:row>
    <x:row r="461" spans="1:12">
      <x:c r="A461" t="s">
        <x:v>36</x:v>
      </x:c>
      <x:c r="B461" s="6" t="str">
        <x:f>LEFT(G461,SEARCH("]",G461))</x:f>
        <x:v>[9수02-07]</x:v>
      </x:c>
      <x:c r="C461" s="5" t="str">
        <x:f>MID(G461,SEARCH("]",G461)+1,200)</x:f>
        <x:v>정비례,반비례 관계를 이해하고,그 관계를 표,식,그래프로 나타낼 수 있다.</x:v>
      </x:c>
      <x:c r="G461" s="3" t="s">
        <x:v>1829</x:v>
      </x:c>
      <x:c r="K461" s="3"/>
      <x:c r="L461" s="3"/>
    </x:row>
    <x:row r="462" spans="1:12">
      <x:c r="A462" t="s">
        <x:v>36</x:v>
      </x:c>
      <x:c r="B462" s="6" t="str">
        <x:f>LEFT(G462,SEARCH("]",G462))</x:f>
        <x:v>[9수02-07]</x:v>
      </x:c>
      <x:c r="C462" s="5" t="str">
        <x:f>MID(G462,SEARCH("]",G462)+1,200)</x:f>
        <x:v xml:space="preserve"> 정비례, 반비례 관계를 이해하고, 그 관계를 표, 식, 그래프로 나타낼 수 있다.</x:v>
      </x:c>
      <x:c r="G462" s="3" t="s">
        <x:v>930</x:v>
      </x:c>
      <x:c r="K462" s="3"/>
      <x:c r="L462" s="3"/>
    </x:row>
    <x:row r="463" spans="1:12">
      <x:c r="A463" t="s">
        <x:v>36</x:v>
      </x:c>
      <x:c r="B463" s="6" t="str">
        <x:f>LEFT(G463,SEARCH("]",G463))</x:f>
        <x:v>[9수02-08]</x:v>
      </x:c>
      <x:c r="C463" s="5" t="str">
        <x:f>MID(G463,SEARCH("]",G463)+1,200)</x:f>
        <x:v>지수법칙을 이해하고,이를 이용하여 식을 간단히 할 수 있다.</x:v>
      </x:c>
      <x:c r="G463" s="3" t="s">
        <x:v>2048</x:v>
      </x:c>
      <x:c r="K463" s="3"/>
      <x:c r="L463" s="3"/>
    </x:row>
    <x:row r="464" spans="1:12">
      <x:c r="A464" t="s">
        <x:v>36</x:v>
      </x:c>
      <x:c r="B464" s="6" t="str">
        <x:f>LEFT(G464,SEARCH("]",G464))</x:f>
        <x:v>[9수02-08]</x:v>
      </x:c>
      <x:c r="C464" s="5" t="str">
        <x:f>MID(G464,SEARCH("]",G464)+1,200)</x:f>
        <x:v xml:space="preserve"> 지수법칙을 이해하고, 이를 이용하여 식을 간단히 할 수 있다.</x:v>
      </x:c>
      <x:c r="G464" s="3" t="s">
        <x:v>636</x:v>
      </x:c>
      <x:c r="K464" s="3"/>
      <x:c r="L464" s="3"/>
    </x:row>
    <x:row r="465" spans="1:12">
      <x:c r="A465" t="s">
        <x:v>36</x:v>
      </x:c>
      <x:c r="B465" s="6" t="str">
        <x:f>LEFT(G465,SEARCH("]",G465))</x:f>
        <x:v>[9수02-09]</x:v>
      </x:c>
      <x:c r="C465" s="5" t="str">
        <x:f>MID(G465,SEARCH("]",G465)+1,200)</x:f>
        <x:v>다항식의 덧셈과 뺄셈의 원리를 이해하고,그 계산을 할 수 있다.</x:v>
      </x:c>
      <x:c r="G465" s="3" t="s">
        <x:v>1654</x:v>
      </x:c>
      <x:c r="K465" s="3"/>
      <x:c r="L465" s="3"/>
    </x:row>
    <x:row r="466" spans="1:12">
      <x:c r="A466" t="s">
        <x:v>36</x:v>
      </x:c>
      <x:c r="B466" s="6" t="str">
        <x:f>LEFT(G466,SEARCH("]",G466))</x:f>
        <x:v>[9수02-09]</x:v>
      </x:c>
      <x:c r="C466" s="5" t="str">
        <x:f>MID(G466,SEARCH("]",G466)+1,200)</x:f>
        <x:v xml:space="preserve"> 다항식의 덧셈과 뺄셈의 원리를 이해하고, 그 계산을 할 수 있다.</x:v>
      </x:c>
      <x:c r="G466" s="3" t="s">
        <x:v>650</x:v>
      </x:c>
      <x:c r="K466" s="3"/>
      <x:c r="L466" s="3"/>
    </x:row>
    <x:row r="467" spans="1:12" ht="32.75">
      <x:c r="A467" t="s">
        <x:v>36</x:v>
      </x:c>
      <x:c r="B467" s="6" t="str">
        <x:f>LEFT(G467,SEARCH("]",G467))</x:f>
        <x:v>[9수02-10]</x:v>
      </x:c>
      <x:c r="C467" s="5" t="str">
        <x:f>MID(G467,SEARCH("]",G467)+1,200)</x:f>
        <x:v xml:space="preserve"> ‘(단항식)×(다항식)’, ‘(다항식)÷(단항식)’과 같은 곱셈과 나눗셈의 원리를 이해하고, 그 계산을 할 수 있다.</x:v>
      </x:c>
      <x:c r="G467" s="3" t="s">
        <x:v>1109</x:v>
      </x:c>
      <x:c r="K467" s="3"/>
      <x:c r="L467" s="3"/>
    </x:row>
    <x:row r="468" spans="1:12">
      <x:c r="A468" t="s">
        <x:v>36</x:v>
      </x:c>
      <x:c r="B468" s="6" t="str">
        <x:f>LEFT(G468,SEARCH("]",G468))</x:f>
        <x:v>[9수02-11]</x:v>
      </x:c>
      <x:c r="C468" s="5" t="str">
        <x:f>MID(G468,SEARCH("]",G468)+1,200)</x:f>
        <x:v xml:space="preserve"> 부등식과 그 해의 뜻을 알고, 부등식의 성질을 설명할 수 있다.</x:v>
      </x:c>
      <x:c r="G468" s="3" t="s">
        <x:v>584</x:v>
      </x:c>
      <x:c r="K468" s="3"/>
      <x:c r="L468" s="3"/>
    </x:row>
    <x:row r="469" spans="1:12">
      <x:c r="A469" t="s">
        <x:v>36</x:v>
      </x:c>
      <x:c r="B469" s="6" t="str">
        <x:f>LEFT(G469,SEARCH("]",G469))</x:f>
        <x:v>[9수02-12]</x:v>
      </x:c>
      <x:c r="C469" s="5" t="str">
        <x:f>MID(G469,SEARCH("]",G469)+1,200)</x:f>
        <x:v xml:space="preserve"> 일차부등식을 풀 수 있고, 이를 활용하여 문제를 해결할 수 있다.</x:v>
      </x:c>
      <x:c r="G469" s="3" t="s">
        <x:v>635</x:v>
      </x:c>
      <x:c r="K469" s="3"/>
      <x:c r="L469" s="3"/>
    </x:row>
    <x:row r="470" spans="1:12">
      <x:c r="A470" t="s">
        <x:v>36</x:v>
      </x:c>
      <x:c r="B470" s="6" t="str">
        <x:f>LEFT(G470,SEARCH("]",G470))</x:f>
        <x:v>[9수02-13]</x:v>
      </x:c>
      <x:c r="C470" s="5" t="str">
        <x:f>MID(G470,SEARCH("]",G470)+1,200)</x:f>
        <x:v xml:space="preserve"> 미지수가 2개인 연립일차방정식을 풀 수 있고, 이를 활용하여 문제를 해결할 수 있다.</x:v>
      </x:c>
      <x:c r="G470" s="3" t="s">
        <x:v>247</x:v>
      </x:c>
      <x:c r="K470" s="3"/>
      <x:c r="L470" s="3"/>
    </x:row>
    <x:row r="471" spans="1:12">
      <x:c r="A471" t="s">
        <x:v>36</x:v>
      </x:c>
      <x:c r="B471" s="6" t="str">
        <x:f>LEFT(G471,SEARCH("]",G471))</x:f>
        <x:v>[9수02-14]</x:v>
      </x:c>
      <x:c r="C471" s="5" t="str">
        <x:f>MID(G471,SEARCH("]",G471)+1,200)</x:f>
        <x:v xml:space="preserve"> 함수의 개념을 이해하고, 함숫값을 구할 수 있다.</x:v>
      </x:c>
      <x:c r="G471" s="3" t="s">
        <x:v>1147</x:v>
      </x:c>
      <x:c r="K471" s="3"/>
      <x:c r="L471" s="3"/>
    </x:row>
    <x:row r="472" spans="1:12">
      <x:c r="A472" t="s">
        <x:v>36</x:v>
      </x:c>
      <x:c r="B472" s="6" t="str">
        <x:f>LEFT(G472,SEARCH("]",G472))</x:f>
        <x:v>[9수02-15]</x:v>
      </x:c>
      <x:c r="C472" s="5" t="str">
        <x:f>MID(G472,SEARCH("]",G472)+1,200)</x:f>
        <x:v xml:space="preserve"> 일차함수의 개념을 이해하고, 그 그래프를 그릴 수 있다.</x:v>
      </x:c>
      <x:c r="G472" s="3" t="s">
        <x:v>1032</x:v>
      </x:c>
      <x:c r="K472" s="3"/>
      <x:c r="L472" s="3"/>
    </x:row>
    <x:row r="473" spans="1:12">
      <x:c r="A473" t="s">
        <x:v>36</x:v>
      </x:c>
      <x:c r="B473" s="6" t="str">
        <x:f>LEFT(G473,SEARCH("]",G473))</x:f>
        <x:v>[9수02-16]</x:v>
      </x:c>
      <x:c r="C473" s="5" t="str">
        <x:f>MID(G473,SEARCH("]",G473)+1,200)</x:f>
        <x:v xml:space="preserve"> 일차함수의 그래프의 성질을 이해하고, 이를 활용하여 문제를 해결할 수 있다.</x:v>
      </x:c>
      <x:c r="G473" s="3" t="s">
        <x:v>931</x:v>
      </x:c>
      <x:c r="K473" s="3"/>
      <x:c r="L473" s="3"/>
    </x:row>
    <x:row r="474" spans="1:12">
      <x:c r="A474" t="s">
        <x:v>36</x:v>
      </x:c>
      <x:c r="B474" s="6" t="str">
        <x:f>LEFT(G474,SEARCH("]",G474))</x:f>
        <x:v>[9수02-17]</x:v>
      </x:c>
      <x:c r="C474" s="5" t="str">
        <x:f>MID(G474,SEARCH("]",G474)+1,200)</x:f>
        <x:v xml:space="preserve"> 일차함수와 미지수가 2개인 일차방정식의 관계를 설명할 수 있다.</x:v>
      </x:c>
      <x:c r="G474" s="3" t="s">
        <x:v>655</x:v>
      </x:c>
      <x:c r="K474" s="3"/>
      <x:c r="L474" s="3"/>
    </x:row>
    <x:row r="475" spans="1:12">
      <x:c r="A475" t="s">
        <x:v>36</x:v>
      </x:c>
      <x:c r="B475" s="6" t="str">
        <x:f>LEFT(G475,SEARCH("]",G475))</x:f>
        <x:v>[9수02-18]</x:v>
      </x:c>
      <x:c r="C475" s="5" t="str">
        <x:f>MID(G475,SEARCH("]",G475)+1,200)</x:f>
        <x:v xml:space="preserve"> 두 일차함수의 그래프와 연립일차방정식의 관계를 설명할 수 있다.</x:v>
      </x:c>
      <x:c r="G475" s="3" t="s">
        <x:v>651</x:v>
      </x:c>
      <x:c r="K475" s="3"/>
      <x:c r="L475" s="3"/>
    </x:row>
    <x:row r="476" spans="1:12">
      <x:c r="A476" t="s">
        <x:v>36</x:v>
      </x:c>
      <x:c r="B476" s="6" t="str">
        <x:f>LEFT(G476,SEARCH("]",G476))</x:f>
        <x:v>[9수02-19]</x:v>
      </x:c>
      <x:c r="C476" s="5" t="str">
        <x:f>MID(G476,SEARCH("]",G476)+1,200)</x:f>
        <x:v xml:space="preserve"> 다항식의 곱셈과 인수분해를 할 수 있다.</x:v>
      </x:c>
      <x:c r="G476" s="3" t="s">
        <x:v>1580</x:v>
      </x:c>
      <x:c r="K476" s="3"/>
      <x:c r="L476" s="3"/>
    </x:row>
    <x:row r="477" spans="1:12">
      <x:c r="A477" t="s">
        <x:v>36</x:v>
      </x:c>
      <x:c r="B477" s="6" t="str">
        <x:f>LEFT(G477,SEARCH("]",G477))</x:f>
        <x:v>[9수02-20]</x:v>
      </x:c>
      <x:c r="C477" s="5" t="str">
        <x:f>MID(G477,SEARCH("]",G477)+1,200)</x:f>
        <x:v xml:space="preserve"> 이차방정식을 풀 수 있고, 이를 활용하여 문제를 해결할 수 있다.</x:v>
      </x:c>
      <x:c r="G477" s="3" t="s">
        <x:v>654</x:v>
      </x:c>
      <x:c r="K477" s="3"/>
      <x:c r="L477" s="3"/>
    </x:row>
    <x:row r="478" spans="1:12">
      <x:c r="A478" t="s">
        <x:v>36</x:v>
      </x:c>
      <x:c r="B478" s="6" t="str">
        <x:f>LEFT(G478,SEARCH("]",G478))</x:f>
        <x:v>[9수02-21]</x:v>
      </x:c>
      <x:c r="C478" s="5" t="str">
        <x:f>MID(G478,SEARCH("]",G478)+1,200)</x:f>
        <x:v xml:space="preserve"> 이차함수의 개념을 이해한다.</x:v>
      </x:c>
      <x:c r="G478" s="3" t="s">
        <x:v>176</x:v>
      </x:c>
      <x:c r="K478" s="3"/>
      <x:c r="L478" s="3"/>
    </x:row>
    <x:row r="479" spans="1:12">
      <x:c r="A479" t="s">
        <x:v>36</x:v>
      </x:c>
      <x:c r="B479" s="6" t="str">
        <x:f>LEFT(G479,SEARCH("]",G479))</x:f>
        <x:v>[9수02-22]</x:v>
      </x:c>
      <x:c r="C479" s="5" t="str">
        <x:f>MID(G479,SEARCH("]",G479)+1,200)</x:f>
        <x:v xml:space="preserve"> 이차함수의 그래프를 그릴 수 있고, 그 성질을 설명할 수 있다. </x:v>
      </x:c>
      <x:c r="G479" s="3" t="s">
        <x:v>652</x:v>
      </x:c>
      <x:c r="K479" s="3"/>
      <x:c r="L479" s="3"/>
    </x:row>
    <x:row r="480" spans="1:12">
      <x:c r="A480" t="s">
        <x:v>36</x:v>
      </x:c>
      <x:c r="B480" s="6" t="str">
        <x:f>LEFT(G480,SEARCH("]",G480))</x:f>
        <x:v>[9수03-01]</x:v>
      </x:c>
      <x:c r="C480" s="5" t="str">
        <x:f>MID(G480,SEARCH("]",G480)+1,200)</x:f>
        <x:v>점,선,면,각을 이해하고,실생활 상황과 연결하여 점,직선,평면의 위치 관계를 설명할 수 있다.</x:v>
      </x:c>
      <x:c r="G480" s="3" t="s">
        <x:v>2022</x:v>
      </x:c>
      <x:c r="K480" s="3"/>
      <x:c r="L480" s="3"/>
    </x:row>
    <x:row r="481" spans="1:12">
      <x:c r="A481" t="s">
        <x:v>36</x:v>
      </x:c>
      <x:c r="B481" s="6" t="str">
        <x:f>LEFT(G481,SEARCH("]",G481))</x:f>
        <x:v>[9수03-02]</x:v>
      </x:c>
      <x:c r="C481" s="5" t="str">
        <x:f>MID(G481,SEARCH("]",G481)+1,200)</x:f>
        <x:v>평행선에서 동위각과 엇각의 성질을 이해하고 설명할 수 있다.</x:v>
      </x:c>
      <x:c r="G481" s="3" t="s">
        <x:v>2049</x:v>
      </x:c>
      <x:c r="K481" s="3"/>
      <x:c r="L481" s="3"/>
    </x:row>
    <x:row r="482" spans="1:12">
      <x:c r="A482" t="s">
        <x:v>36</x:v>
      </x:c>
      <x:c r="B482" s="6" t="str">
        <x:f>LEFT(G482,SEARCH("]",G482))</x:f>
        <x:v>[9수03-03]</x:v>
      </x:c>
      <x:c r="C482" s="5" t="str">
        <x:f>MID(G482,SEARCH("]",G482)+1,200)</x:f>
        <x:v>삼각형을 작도하고,그 과정을 설명할 수 있다.</x:v>
      </x:c>
      <x:c r="G482" s="3" t="s">
        <x:v>1775</x:v>
      </x:c>
      <x:c r="K482" s="3"/>
      <x:c r="L482" s="3"/>
    </x:row>
    <x:row r="483" spans="1:12">
      <x:c r="A483" t="s">
        <x:v>36</x:v>
      </x:c>
      <x:c r="B483" s="6" t="str">
        <x:f>LEFT(G483,SEARCH("]",G483))</x:f>
        <x:v>[9수03-04]</x:v>
      </x:c>
      <x:c r="C483" s="5" t="str">
        <x:f>MID(G483,SEARCH("]",G483)+1,200)</x:f>
        <x:v>삼각형의 합동 조건을 이해하고,이를 이용하여 두 삼각형이 합동인지 판별할 수 있다.</x:v>
      </x:c>
      <x:c r="G483" s="3" t="s">
        <x:v>2064</x:v>
      </x:c>
      <x:c r="K483" s="3"/>
      <x:c r="L483" s="3"/>
    </x:row>
    <x:row r="484" spans="1:12">
      <x:c r="A484" t="s">
        <x:v>36</x:v>
      </x:c>
      <x:c r="B484" s="6" t="str">
        <x:f>LEFT(G484,SEARCH("]",G484))</x:f>
        <x:v>[9수03-05]</x:v>
      </x:c>
      <x:c r="C484" s="5" t="str">
        <x:f>MID(G484,SEARCH("]",G484)+1,200)</x:f>
        <x:v>다각형의 성질을 이해하고 설명할 수 있다.</x:v>
      </x:c>
      <x:c r="G484" s="3" t="s">
        <x:v>1779</x:v>
      </x:c>
      <x:c r="K484" s="3"/>
      <x:c r="L484" s="3"/>
    </x:row>
    <x:row r="485" spans="1:12" ht="32.75">
      <x:c r="A485" t="s">
        <x:v>36</x:v>
      </x:c>
      <x:c r="B485" s="6" t="str">
        <x:f>LEFT(G485,SEARCH("]",G485))</x:f>
        <x:v>[9수03-06]</x:v>
      </x:c>
      <x:c r="C485" s="5" t="str">
        <x:f>MID(G485,SEARCH("]",G485)+1,200)</x:f>
        <x:v>부채꼴의 중심각과 호의 관계를 이해하고,이를 이용하여 부채꼴의 호의 길이와 넓이를 구할 수 있다.</x:v>
      </x:c>
      <x:c r="G485" s="3" t="s">
        <x:v>2018</x:v>
      </x:c>
      <x:c r="K485" s="3"/>
      <x:c r="L485" s="3"/>
    </x:row>
    <x:row r="486" spans="1:12" ht="32.75">
      <x:c r="A486" t="s">
        <x:v>36</x:v>
      </x:c>
      <x:c r="B486" s="6" t="str">
        <x:f>LEFT(G486,SEARCH("]",G486))</x:f>
        <x:v>[9수03-07]</x:v>
      </x:c>
      <x:c r="C486" s="5" t="str">
        <x:f>MID(G486,SEARCH("]",G486)+1,200)</x:f>
        <x:v>구체적인 모형이나 공학 도구를 이용하여 다면체와 회전체의 성질을 탐구하고,이를 설명할 수 있다.</x:v>
      </x:c>
      <x:c r="G486" s="3" t="s">
        <x:v>2020</x:v>
      </x:c>
      <x:c r="K486" s="3"/>
      <x:c r="L486" s="3"/>
    </x:row>
    <x:row r="487" spans="1:12">
      <x:c r="A487" t="s">
        <x:v>36</x:v>
      </x:c>
      <x:c r="B487" s="6" t="str">
        <x:f>LEFT(G487,SEARCH("]",G487))</x:f>
        <x:v>[9수03-08]</x:v>
      </x:c>
      <x:c r="C487" s="5" t="str">
        <x:f>MID(G487,SEARCH("]",G487)+1,200)</x:f>
        <x:v>입체도형의 겉넓이와 부피를 구할 수 있다.</x:v>
      </x:c>
      <x:c r="G487" s="3" t="s">
        <x:v>1772</x:v>
      </x:c>
      <x:c r="K487" s="3"/>
      <x:c r="L487" s="3"/>
    </x:row>
    <x:row r="488" spans="1:12">
      <x:c r="A488" t="s">
        <x:v>36</x:v>
      </x:c>
      <x:c r="B488" s="6" t="str">
        <x:f>LEFT(G488,SEARCH("]",G488))</x:f>
        <x:v>[9수03-09]</x:v>
      </x:c>
      <x:c r="C488" s="5" t="str">
        <x:f>MID(G488,SEARCH("]",G488)+1,200)</x:f>
        <x:v>이등변삼각형의 성질을 이해하고 정당화할 수 있다.</x:v>
      </x:c>
      <x:c r="G488" s="3" t="s">
        <x:v>1729</x:v>
      </x:c>
      <x:c r="K488" s="3"/>
      <x:c r="L488" s="3"/>
    </x:row>
    <x:row r="489" spans="1:12">
      <x:c r="A489" t="s">
        <x:v>36</x:v>
      </x:c>
      <x:c r="B489" s="6" t="str">
        <x:f>LEFT(G489,SEARCH("]",G489))</x:f>
        <x:v>[9수03-10]</x:v>
      </x:c>
      <x:c r="C489" s="5" t="str">
        <x:f>MID(G489,SEARCH("]",G489)+1,200)</x:f>
        <x:v>삼각형의 외심과 내심의 성질을 이해하고 정당화할 수 있다.</x:v>
      </x:c>
      <x:c r="G489" s="3" t="s">
        <x:v>2052</x:v>
      </x:c>
      <x:c r="K489" s="3"/>
      <x:c r="L489" s="3"/>
    </x:row>
    <x:row r="490" spans="1:12">
      <x:c r="A490" t="s">
        <x:v>36</x:v>
      </x:c>
      <x:c r="B490" s="6" t="str">
        <x:f>LEFT(G490,SEARCH("]",G490))</x:f>
        <x:v>[9수03-11]</x:v>
      </x:c>
      <x:c r="C490" s="5" t="str">
        <x:f>MID(G490,SEARCH("]",G490)+1,200)</x:f>
        <x:v>사각형의 성질을 이해하고 정당화할 수 있다.</x:v>
      </x:c>
      <x:c r="G490" s="3" t="s">
        <x:v>1796</x:v>
      </x:c>
      <x:c r="K490" s="3"/>
      <x:c r="L490" s="3"/>
    </x:row>
    <x:row r="491" spans="1:12">
      <x:c r="A491" t="s">
        <x:v>36</x:v>
      </x:c>
      <x:c r="B491" s="6" t="str">
        <x:f>LEFT(G491,SEARCH("]",G491))</x:f>
        <x:v>[9수03-12]</x:v>
      </x:c>
      <x:c r="C491" s="5" t="str">
        <x:f>MID(G491,SEARCH("]",G491)+1,200)</x:f>
        <x:v>도형의 닮음의 뜻과 닮은 도형의 성질을 이해하고,닮음비를 구할 수 있다.</x:v>
      </x:c>
      <x:c r="G491" s="3" t="s">
        <x:v>1816</x:v>
      </x:c>
      <x:c r="K491" s="3"/>
      <x:c r="L491" s="3"/>
    </x:row>
    <x:row r="492" spans="1:12">
      <x:c r="A492" t="s">
        <x:v>36</x:v>
      </x:c>
      <x:c r="B492" s="6" t="str">
        <x:f>LEFT(G492,SEARCH("]",G492))</x:f>
        <x:v>[9수03-13]</x:v>
      </x:c>
      <x:c r="C492" s="5" t="str">
        <x:f>MID(G492,SEARCH("]",G492)+1,200)</x:f>
        <x:v>삼각형의 닮음 조건을 이해하고,이를 이용하여 두 삼각형이 닮음인지 판별할 수 있다.</x:v>
      </x:c>
      <x:c r="G492" s="3" t="s">
        <x:v>2074</x:v>
      </x:c>
      <x:c r="K492" s="3"/>
      <x:c r="L492" s="3"/>
    </x:row>
    <x:row r="493" spans="1:12">
      <x:c r="A493" t="s">
        <x:v>36</x:v>
      </x:c>
      <x:c r="B493" s="6" t="str">
        <x:f>LEFT(G493,SEARCH("]",G493))</x:f>
        <x:v>[9수03-14]</x:v>
      </x:c>
      <x:c r="C493" s="5" t="str">
        <x:f>MID(G493,SEARCH("]",G493)+1,200)</x:f>
        <x:v>평행선 사이의 선분의 길이의 비를 구할 수 있다.</x:v>
      </x:c>
      <x:c r="G493" s="3" t="s">
        <x:v>1755</x:v>
      </x:c>
      <x:c r="K493" s="3"/>
      <x:c r="L493" s="3"/>
    </x:row>
    <x:row r="494" spans="1:12">
      <x:c r="A494" t="s">
        <x:v>36</x:v>
      </x:c>
      <x:c r="B494" s="6" t="str">
        <x:f>LEFT(G494,SEARCH("]",G494))</x:f>
        <x:v>[9수03-15]</x:v>
      </x:c>
      <x:c r="C494" s="5" t="str">
        <x:f>MID(G494,SEARCH("]",G494)+1,200)</x:f>
        <x:v>피타고라스 정리를 이해하고 정당화할 수 있다.</x:v>
      </x:c>
      <x:c r="G494" s="3" t="s">
        <x:v>1781</x:v>
      </x:c>
      <x:c r="K494" s="3"/>
      <x:c r="L494" s="3"/>
    </x:row>
    <x:row r="495" spans="1:12">
      <x:c r="A495" t="s">
        <x:v>36</x:v>
      </x:c>
      <x:c r="B495" s="6" t="str">
        <x:f>LEFT(G495,SEARCH("]",G495))</x:f>
        <x:v>[9수03-16]</x:v>
      </x:c>
      <x:c r="C495" s="5" t="str">
        <x:f>MID(G495,SEARCH("]",G495)+1,200)</x:f>
        <x:v>삼각비의 뜻을 알고,간단한 삼각비의 값을 구할 수 있다.</x:v>
      </x:c>
      <x:c r="G495" s="3" t="s">
        <x:v>2039</x:v>
      </x:c>
      <x:c r="K495" s="3"/>
      <x:c r="L495" s="3"/>
    </x:row>
    <x:row r="496" spans="1:12">
      <x:c r="A496" t="s">
        <x:v>36</x:v>
      </x:c>
      <x:c r="B496" s="6" t="str">
        <x:f>LEFT(G496,SEARCH("]",G496))</x:f>
        <x:v>[9수03-17]</x:v>
      </x:c>
      <x:c r="C496" s="5" t="str">
        <x:f>MID(G496,SEARCH("]",G496)+1,200)</x:f>
        <x:v>삼각비를 활용하여 여러 가지 문제를 해결할 수 있다.</x:v>
      </x:c>
      <x:c r="G496" s="3" t="s">
        <x:v>1737</x:v>
      </x:c>
      <x:c r="K496" s="3"/>
      <x:c r="L496" s="3"/>
    </x:row>
    <x:row r="497" spans="1:12">
      <x:c r="A497" t="s">
        <x:v>36</x:v>
      </x:c>
      <x:c r="B497" s="6" t="str">
        <x:f>LEFT(G497,SEARCH("]",G497))</x:f>
        <x:v>[9수03-18]</x:v>
      </x:c>
      <x:c r="C497" s="5" t="str">
        <x:f>MID(G497,SEARCH("]",G497)+1,200)</x:f>
        <x:v>원의 현에 관한 성질과 접선에 관한 성질을 이해하고 정당화할 수 있다.</x:v>
      </x:c>
      <x:c r="G497" s="3" t="s">
        <x:v>1833</x:v>
      </x:c>
      <x:c r="K497" s="3"/>
      <x:c r="L497" s="3"/>
    </x:row>
    <x:row r="498" spans="1:12">
      <x:c r="A498" t="s">
        <x:v>36</x:v>
      </x:c>
      <x:c r="B498" s="6" t="str">
        <x:f>LEFT(G498,SEARCH("]",G498))</x:f>
        <x:v>[9수03-19]</x:v>
      </x:c>
      <x:c r="C498" s="5" t="str">
        <x:f>MID(G498,SEARCH("]",G498)+1,200)</x:f>
        <x:v>원주각의 성질을 이해하고 정당화할 수 있다.</x:v>
      </x:c>
      <x:c r="G498" s="3" t="s">
        <x:v>1782</x:v>
      </x:c>
      <x:c r="K498" s="3"/>
      <x:c r="L498" s="3"/>
    </x:row>
    <x:row r="499" spans="1:12">
      <x:c r="A499" t="s">
        <x:v>36</x:v>
      </x:c>
      <x:c r="B499" s="6" t="str">
        <x:f>LEFT(G499,SEARCH("]",G499))</x:f>
        <x:v>[9수04-01]</x:v>
      </x:c>
      <x:c r="C499" s="5" t="str">
        <x:f>MID(G499,SEARCH("]",G499)+1,200)</x:f>
        <x:v>중앙값,최빈값의 뜻을 알고,자료의 특성에 따라 적절한 대푯값을 선택하여 구할 수 있다.</x:v>
      </x:c>
      <x:c r="G499" s="3" t="s">
        <x:v>125</x:v>
      </x:c>
      <x:c r="K499" s="3"/>
      <x:c r="L499" s="3"/>
    </x:row>
    <x:row r="500" spans="1:12">
      <x:c r="A500" t="s">
        <x:v>36</x:v>
      </x:c>
      <x:c r="B500" s="6" t="str">
        <x:f>LEFT(G500,SEARCH("]",G500))</x:f>
        <x:v>[9수04-02]</x:v>
      </x:c>
      <x:c r="C500" s="5" t="str">
        <x:f>MID(G500,SEARCH("]",G500)+1,200)</x:f>
        <x:v>자료를 줄기와 잎 그림,도수분포표,히스토그램,도수분포다각형으로 나타내고 해석할수 있다.</x:v>
      </x:c>
      <x:c r="G500" s="3" t="s">
        <x:v>100</x:v>
      </x:c>
      <x:c r="K500" s="3"/>
      <x:c r="L500" s="3"/>
    </x:row>
    <x:row r="501" spans="1:12">
      <x:c r="A501" t="s">
        <x:v>36</x:v>
      </x:c>
      <x:c r="B501" s="6" t="str">
        <x:f>LEFT(G501,SEARCH("]",G501))</x:f>
        <x:v>[9수04-03]</x:v>
      </x:c>
      <x:c r="C501" s="5" t="str">
        <x:f>MID(G501,SEARCH("]",G501)+1,200)</x:f>
        <x:v>상대도수를 구하고,상대도수의 분포를 표나 그래프로 나타내고 해석할 수 있다.</x:v>
      </x:c>
      <x:c r="G501" s="3" t="s">
        <x:v>1821</x:v>
      </x:c>
      <x:c r="K501" s="3"/>
      <x:c r="L501" s="3"/>
    </x:row>
    <x:row r="502" spans="1:12" ht="32.75">
      <x:c r="A502" t="s">
        <x:v>36</x:v>
      </x:c>
      <x:c r="B502" s="6" t="str">
        <x:f>LEFT(G502,SEARCH("]",G502))</x:f>
        <x:v>[9수04-04]</x:v>
      </x:c>
      <x:c r="C502" s="5" t="str">
        <x:f>MID(G502,SEARCH("]",G502)+1,200)</x:f>
        <x:v>통계적 탐구 문제를 설정하고,공학 도구를 이용하여 자료를 수집하여 분석하고,그결과를 해석할 수 있다.</x:v>
      </x:c>
      <x:c r="G502" s="3" t="s">
        <x:v>560</x:v>
      </x:c>
      <x:c r="K502" s="3"/>
      <x:c r="L502" s="3"/>
    </x:row>
    <x:row r="503" spans="1:12">
      <x:c r="A503" t="s">
        <x:v>36</x:v>
      </x:c>
      <x:c r="B503" s="6" t="str">
        <x:f>LEFT(G503,SEARCH("]",G503))</x:f>
        <x:v>[9수04-05]</x:v>
      </x:c>
      <x:c r="C503" s="5" t="str">
        <x:f>MID(G503,SEARCH("]",G503)+1,200)</x:f>
        <x:v>경우의 수를 구할 수 있다.</x:v>
      </x:c>
      <x:c r="G503" s="3" t="s">
        <x:v>1713</x:v>
      </x:c>
      <x:c r="K503" s="3"/>
      <x:c r="L503" s="3"/>
    </x:row>
    <x:row r="504" spans="1:12">
      <x:c r="A504" t="s">
        <x:v>36</x:v>
      </x:c>
      <x:c r="B504" s="6" t="str">
        <x:f>LEFT(G504,SEARCH("]",G504))</x:f>
        <x:v>[9수04-06]</x:v>
      </x:c>
      <x:c r="C504" s="5" t="str">
        <x:f>MID(G504,SEARCH("]",G504)+1,200)</x:f>
        <x:v>확률의 개념과 그 기본 성질을 이해하고,확률을 구할 수 있다.</x:v>
      </x:c>
      <x:c r="G504" s="3" t="s">
        <x:v>2025</x:v>
      </x:c>
      <x:c r="K504" s="3"/>
      <x:c r="L504" s="3"/>
    </x:row>
    <x:row r="505" spans="1:12">
      <x:c r="A505" t="s">
        <x:v>36</x:v>
      </x:c>
      <x:c r="B505" s="6" t="str">
        <x:f>LEFT(G505,SEARCH("]",G505))</x:f>
        <x:v>[9수04-07]</x:v>
      </x:c>
      <x:c r="C505" s="5" t="str">
        <x:f>MID(G505,SEARCH("]",G505)+1,200)</x:f>
        <x:v>분산과 표준편차를 구하고 자료의 분포를 설명할 수 있다.</x:v>
      </x:c>
      <x:c r="G505" s="3" t="s">
        <x:v>2023</x:v>
      </x:c>
      <x:c r="K505" s="3"/>
      <x:c r="L505" s="3"/>
    </x:row>
    <x:row r="506" spans="1:12">
      <x:c r="A506" t="s">
        <x:v>36</x:v>
      </x:c>
      <x:c r="B506" s="6" t="str">
        <x:f>LEFT(G506,SEARCH("]",G506))</x:f>
        <x:v>[9수04-08]</x:v>
      </x:c>
      <x:c r="C506" s="5" t="str">
        <x:f>MID(G506,SEARCH("]",G506)+1,200)</x:f>
        <x:v>공학 도구를 이용하여 자료를 상자그림으로 나타내고 분포를 비교할 수 있다.</x:v>
      </x:c>
      <x:c r="G506" s="3" t="s">
        <x:v>1831</x:v>
      </x:c>
      <x:c r="K506" s="3"/>
      <x:c r="L506" s="3"/>
    </x:row>
    <x:row r="507" spans="1:12">
      <x:c r="A507" t="s">
        <x:v>36</x:v>
      </x:c>
      <x:c r="B507" s="6" t="str">
        <x:f>LEFT(G507,SEARCH("]",G507))</x:f>
        <x:v>[9수04-09]</x:v>
      </x:c>
      <x:c r="C507" s="5" t="str">
        <x:f>MID(G507,SEARCH("]",G507)+1,200)</x:f>
        <x:v>자료를 산점도로 나타내고 상관관계를 말할 수 있다.</x:v>
      </x:c>
      <x:c r="G507" s="3" t="s">
        <x:v>1731</x:v>
      </x:c>
      <x:c r="K507" s="3"/>
      <x:c r="L507" s="3"/>
    </x:row>
    <x:row r="508" spans="1:12">
      <x:c r="A508" t="s">
        <x:v>44</x:v>
      </x:c>
      <x:c r="B508" s="6" t="str">
        <x:f>LEFT(G508,SEARCH("]",G508))</x:f>
        <x:v>[9역01-01]</x:v>
      </x:c>
      <x:c r="C508" s="5" t="str">
        <x:f>MID(G508,SEARCH("]",G508)+1,200)</x:f>
        <x:v>역사와 역사 탐구의 의미를 파악하고,역사 학습의 목적을 다각도로 탐색한다.</x:v>
      </x:c>
      <x:c r="G508" s="3" t="s">
        <x:v>1817</x:v>
      </x:c>
      <x:c r="K508" s="3"/>
      <x:c r="L508" s="3"/>
    </x:row>
    <x:row r="509" spans="1:12">
      <x:c r="A509" t="s">
        <x:v>44</x:v>
      </x:c>
      <x:c r="B509" s="6" t="str">
        <x:f>LEFT(G509,SEARCH("]",G509))</x:f>
        <x:v>[9역01-02]</x:v>
      </x:c>
      <x:c r="C509" s="5" t="str">
        <x:f>MID(G509,SEARCH("]",G509)+1,200)</x:f>
        <x:v>다양한 자료와 사례를 통해 역사 탐구 방법을 익힌다.</x:v>
      </x:c>
      <x:c r="G509" s="3" t="s">
        <x:v>1724</x:v>
      </x:c>
      <x:c r="K509" s="3"/>
      <x:c r="L509" s="3"/>
    </x:row>
    <x:row r="510" spans="1:12">
      <x:c r="A510" t="s">
        <x:v>44</x:v>
      </x:c>
      <x:c r="B510" s="6" t="str">
        <x:f>LEFT(G510,SEARCH("]",G510))</x:f>
        <x:v>[9역02-01]</x:v>
      </x:c>
      <x:c r="C510" s="5" t="str">
        <x:f>MID(G510,SEARCH("]",G510)+1,200)</x:f>
        <x:v>선사 문화 및 문명의 형성을 이해하고,각 문명의 특징을 비교한다.</x:v>
      </x:c>
      <x:c r="G510" s="3" t="s">
        <x:v>1658</x:v>
      </x:c>
      <x:c r="K510" s="3"/>
      <x:c r="L510" s="3"/>
    </x:row>
    <x:row r="511" spans="1:12">
      <x:c r="A511" t="s">
        <x:v>44</x:v>
      </x:c>
      <x:c r="B511" s="6" t="str">
        <x:f>LEFT(G511,SEARCH("]",G511))</x:f>
        <x:v>[9역02-02]</x:v>
      </x:c>
      <x:c r="C511" s="5" t="str">
        <x:f>MID(G511,SEARCH("]",G511)+1,200)</x:f>
        <x:v>서아시아⋅지중해 세계에서 등장한 여러 정치체를 비교하고 종교 및 문화를 탐구한다.</x:v>
      </x:c>
      <x:c r="G511" s="3" t="s">
        <x:v>2065</x:v>
      </x:c>
      <x:c r="K511" s="3"/>
      <x:c r="L511" s="3"/>
    </x:row>
    <x:row r="512" spans="1:12" ht="32.75">
      <x:c r="A512" t="s">
        <x:v>44</x:v>
      </x:c>
      <x:c r="B512" s="6" t="str">
        <x:f>LEFT(G512,SEARCH("]",G512))</x:f>
        <x:v>[9역02-03]</x:v>
      </x:c>
      <x:c r="C512" s="5" t="str">
        <x:f>MID(G512,SEARCH("]",G512)+1,200)</x:f>
        <x:v>중국과 인도의 정치적 변화와 종교⋅사상 성립의 관계를 이해하고,유라시아의 상호 교류를 탐색한다.</x:v>
      </x:c>
      <x:c r="G512" s="3" t="s">
        <x:v>1970</x:v>
      </x:c>
      <x:c r="K512" s="3"/>
      <x:c r="L512" s="3"/>
    </x:row>
    <x:row r="513" spans="1:12">
      <x:c r="A513" t="s">
        <x:v>44</x:v>
      </x:c>
      <x:c r="B513" s="6" t="str">
        <x:f>LEFT(G513,SEARCH("]",G513))</x:f>
        <x:v>[9역03-01]</x:v>
      </x:c>
      <x:c r="C513" s="5" t="str">
        <x:f>MID(G513,SEARCH("]",G513)+1,200)</x:f>
        <x:v>수⋅당 시기 동아시아 국제 질서의 특징을 이해하고,동아시아 문화를 탐구한다.</x:v>
      </x:c>
      <x:c r="G513" s="3" t="s">
        <x:v>1818</x:v>
      </x:c>
      <x:c r="K513" s="3"/>
      <x:c r="L513" s="3"/>
    </x:row>
    <x:row r="514" spans="1:12">
      <x:c r="A514" t="s">
        <x:v>44</x:v>
      </x:c>
      <x:c r="B514" s="6" t="str">
        <x:f>LEFT(G514,SEARCH("]",G514))</x:f>
        <x:v>[9역03-02]</x:v>
      </x:c>
      <x:c r="C514" s="5" t="str">
        <x:f>MID(G514,SEARCH("]",G514)+1,200)</x:f>
        <x:v>인도,서아시아,지중해에서 진행된 정치적 변동 과정과 각 종교의 특징 및 영향을 파악한다.</x:v>
      </x:c>
      <x:c r="G514" s="3" t="s">
        <x:v>95</x:v>
      </x:c>
      <x:c r="K514" s="3"/>
      <x:c r="L514" s="3"/>
    </x:row>
    <x:row r="515" spans="1:12" ht="32.75">
      <x:c r="A515" t="s">
        <x:v>44</x:v>
      </x:c>
      <x:c r="B515" s="6" t="str">
        <x:f>LEFT(G515,SEARCH("]",G515))</x:f>
        <x:v>[9역03-03]</x:v>
      </x:c>
      <x:c r="C515" s="5" t="str">
        <x:f>MID(G515,SEARCH("]",G515)+1,200)</x:f>
        <x:v>크리스트교 세계의 정치와 종교의 상관성을 이해하고,이슬람 세계와 크리스트교 세계의 충돌 및 교류의 결과를 탐구한다.</x:v>
      </x:c>
      <x:c r="G515" s="3" t="s">
        <x:v>1959</x:v>
      </x:c>
      <x:c r="K515" s="3"/>
      <x:c r="L515" s="3"/>
    </x:row>
    <x:row r="516" spans="1:12">
      <x:c r="A516" t="s">
        <x:v>44</x:v>
      </x:c>
      <x:c r="B516" s="6" t="str">
        <x:f>LEFT(G516,SEARCH("]",G516))</x:f>
        <x:v>[9역04-01]</x:v>
      </x:c>
      <x:c r="C516" s="5" t="str">
        <x:f>MID(G516,SEARCH("]",G516)+1,200)</x:f>
        <x:v>송과 몽골 제국 시기 유라시아⋅인도양 교역권의 성장을 경제⋅문화 자료를 통해 탐구한다.</x:v>
      </x:c>
      <x:c r="G516" s="3" t="s">
        <x:v>91</x:v>
      </x:c>
      <x:c r="K516" s="3"/>
      <x:c r="L516" s="3"/>
    </x:row>
    <x:row r="517" spans="1:12">
      <x:c r="A517" t="s">
        <x:v>44</x:v>
      </x:c>
      <x:c r="B517" s="6" t="str">
        <x:f>LEFT(G517,SEARCH("]",G517))</x:f>
        <x:v>[9역04-02]</x:v>
      </x:c>
      <x:c r="C517" s="5" t="str">
        <x:f>MID(G517,SEARCH("]",G517)+1,200)</x:f>
        <x:v>명⋅청,에도 막부,무굴 제국의 정치⋅사회 변화를 비교한다.</x:v>
      </x:c>
      <x:c r="G517" s="3" t="s">
        <x:v>2029</x:v>
      </x:c>
      <x:c r="K517" s="3"/>
      <x:c r="L517" s="3"/>
    </x:row>
    <x:row r="518" spans="1:12">
      <x:c r="A518" t="s">
        <x:v>44</x:v>
      </x:c>
      <x:c r="B518" s="6" t="str">
        <x:f>LEFT(G518,SEARCH("]",G518))</x:f>
        <x:v>[9역04-03]</x:v>
      </x:c>
      <x:c r="C518" s="5" t="str">
        <x:f>MID(G518,SEARCH("]",G518)+1,200)</x:f>
        <x:v>오스만 제국의 성장과 유럽 사회의 근대적 변화를 조사한다.</x:v>
      </x:c>
      <x:c r="G518" s="3" t="s">
        <x:v>2033</x:v>
      </x:c>
      <x:c r="K518" s="3"/>
      <x:c r="L518" s="3"/>
    </x:row>
    <x:row r="519" spans="1:12">
      <x:c r="A519" t="s">
        <x:v>44</x:v>
      </x:c>
      <x:c r="B519" s="6" t="str">
        <x:f>LEFT(G519,SEARCH("]",G519))</x:f>
        <x:v>[9역05-01]</x:v>
      </x:c>
      <x:c r="C519" s="5" t="str">
        <x:f>MID(G519,SEARCH("]",G519)+1,200)</x:f>
        <x:v>시민 혁명을 국민 국가 형성과 연결하여 파악하고,역사적 의의와 한계를 탐구한다.</x:v>
      </x:c>
      <x:c r="G519" s="3" t="s">
        <x:v>2067</x:v>
      </x:c>
      <x:c r="K519" s="3"/>
      <x:c r="L519" s="3"/>
    </x:row>
    <x:row r="520" spans="1:12">
      <x:c r="A520" t="s">
        <x:v>44</x:v>
      </x:c>
      <x:c r="B520" s="6" t="str">
        <x:f>LEFT(G520,SEARCH("]",G520))</x:f>
        <x:v>[9역05-02]</x:v>
      </x:c>
      <x:c r="C520" s="5" t="str">
        <x:f>MID(G520,SEARCH("]",G520)+1,200)</x:f>
        <x:v>서양의 산업화와 제국주의 정책을 이해하고,사회와 생태환경에 미친 영향을 분석한다.</x:v>
      </x:c>
      <x:c r="G520" s="3" t="s">
        <x:v>1923</x:v>
      </x:c>
      <x:c r="K520" s="3"/>
      <x:c r="L520" s="3"/>
    </x:row>
    <x:row r="521" spans="1:12" ht="32.75">
      <x:c r="A521" t="s">
        <x:v>44</x:v>
      </x:c>
      <x:c r="B521" s="6" t="str">
        <x:f>LEFT(G521,SEARCH("]",G521))</x:f>
        <x:v>[9역05-03]</x:v>
      </x:c>
      <x:c r="C521" s="5" t="str">
        <x:f>MID(G521,SEARCH("]",G521)+1,200)</x:f>
        <x:v>제국주의 열강의 침략에 대한 아시아의 대응 및 국민 국가 건설 노력을 이해하고,그 성과와 한계를 평가한다.</x:v>
      </x:c>
      <x:c r="G521" s="3" t="s">
        <x:v>1948</x:v>
      </x:c>
      <x:c r="K521" s="3"/>
      <x:c r="L521" s="3"/>
    </x:row>
    <x:row r="522" spans="1:12">
      <x:c r="A522" t="s">
        <x:v>44</x:v>
      </x:c>
      <x:c r="B522" s="6" t="str">
        <x:f>LEFT(G522,SEARCH("]",G522))</x:f>
        <x:v>[9역06-01]</x:v>
      </x:c>
      <x:c r="C522" s="5" t="str">
        <x:f>MID(G522,SEARCH("]",G522)+1,200)</x:f>
        <x:v xml:space="preserve"> 20세기 전반 세계 질서의 변화를 두 차례의 세계 대전을 중심으로 파악한다.</x:v>
      </x:c>
      <x:c r="G522" s="3" t="s">
        <x:v>1996</x:v>
      </x:c>
      <x:c r="K522" s="3"/>
      <x:c r="L522" s="3"/>
    </x:row>
    <x:row r="523" spans="1:12">
      <x:c r="A523" t="s">
        <x:v>44</x:v>
      </x:c>
      <x:c r="B523" s="6" t="str">
        <x:f>LEFT(G523,SEARCH("]",G523))</x:f>
        <x:v>[9역06-02]</x:v>
      </x:c>
      <x:c r="C523" s="5" t="str">
        <x:f>MID(G523,SEARCH("]",G523)+1,200)</x:f>
        <x:v>세계 대전 중의 전쟁 범죄를 탐구하고,인권 회복과 평화 실현을 위한 노력을 조사한다.</x:v>
      </x:c>
      <x:c r="G523" s="3" t="s">
        <x:v>104</x:v>
      </x:c>
      <x:c r="K523" s="3"/>
      <x:c r="L523" s="3"/>
    </x:row>
    <x:row r="524" spans="1:12">
      <x:c r="A524" t="s">
        <x:v>44</x:v>
      </x:c>
      <x:c r="B524" s="6" t="str">
        <x:f>LEFT(G524,SEARCH("]",G524))</x:f>
        <x:v>[9역06-03]</x:v>
      </x:c>
      <x:c r="C524" s="5" t="str">
        <x:f>MID(G524,SEARCH("]",G524)+1,200)</x:f>
        <x:v>아시아⋅아프리카 지역의 민족 운동을 이해하고,그 특징을 비교한다.</x:v>
      </x:c>
      <x:c r="G524" s="3" t="s">
        <x:v>1659</x:v>
      </x:c>
      <x:c r="K524" s="3"/>
      <x:c r="L524" s="3"/>
    </x:row>
    <x:row r="525" spans="1:12">
      <x:c r="A525" t="s">
        <x:v>44</x:v>
      </x:c>
      <x:c r="B525" s="6" t="str">
        <x:f>LEFT(G525,SEARCH("]",G525))</x:f>
        <x:v>[9역07-01]</x:v>
      </x:c>
      <x:c r="C525" s="5" t="str">
        <x:f>MID(G525,SEARCH("]",G525)+1,200)</x:f>
        <x:v>냉전의 전개와 제3세계 등장의 상관관계를 이해하고,냉전 이후 국제 질서의 변화를 분석한다.</x:v>
      </x:c>
      <x:c r="G525" s="3" t="s">
        <x:v>85</x:v>
      </x:c>
      <x:c r="K525" s="3"/>
      <x:c r="L525" s="3"/>
    </x:row>
    <x:row r="526" spans="1:12">
      <x:c r="A526" t="s">
        <x:v>44</x:v>
      </x:c>
      <x:c r="B526" s="6" t="str">
        <x:f>LEFT(G526,SEARCH("]",G526))</x:f>
        <x:v>[9역07-02]</x:v>
      </x:c>
      <x:c r="C526" s="5" t="str">
        <x:f>MID(G526,SEARCH("]",G526)+1,200)</x:f>
        <x:v xml:space="preserve"> 20세기 후반 민주주의와 인권의 신장을 위한 노력에 관심을 갖는다.</x:v>
      </x:c>
      <x:c r="G526" s="3" t="s">
        <x:v>1662</x:v>
      </x:c>
      <x:c r="K526" s="3"/>
      <x:c r="L526" s="3"/>
    </x:row>
    <x:row r="527" spans="1:12">
      <x:c r="A527" t="s">
        <x:v>44</x:v>
      </x:c>
      <x:c r="B527" s="6" t="str">
        <x:f>LEFT(G527,SEARCH("]",G527))</x:f>
        <x:v>[9역07-03]</x:v>
      </x:c>
      <x:c r="C527" s="5" t="str">
        <x:f>MID(G527,SEARCH("]",G527)+1,200)</x:f>
        <x:v>오늘날 세계화의 양상을 조사하고,성과와 과제를 탐구한다.</x:v>
      </x:c>
      <x:c r="G527" s="3" t="s">
        <x:v>2034</x:v>
      </x:c>
      <x:c r="K527" s="3"/>
      <x:c r="L527" s="3"/>
    </x:row>
    <x:row r="528" spans="1:12">
      <x:c r="A528" t="s">
        <x:v>44</x:v>
      </x:c>
      <x:c r="B528" s="6" t="str">
        <x:f>LEFT(G528,SEARCH("]",G528))</x:f>
        <x:v>[9역08-01]</x:v>
      </x:c>
      <x:c r="C528" s="5" t="str">
        <x:f>MID(G528,SEARCH("]",G528)+1,200)</x:f>
        <x:v>고조선과 여러 나라의 형성 과정 및 사회 모습을 탐구한다.</x:v>
      </x:c>
      <x:c r="G528" s="3" t="s">
        <x:v>2035</x:v>
      </x:c>
      <x:c r="K528" s="3"/>
      <x:c r="L528" s="3"/>
    </x:row>
    <x:row r="529" spans="1:12">
      <x:c r="A529" t="s">
        <x:v>44</x:v>
      </x:c>
      <x:c r="B529" s="6" t="str">
        <x:f>LEFT(G529,SEARCH("]",G529))</x:f>
        <x:v>[9역08-02]</x:v>
      </x:c>
      <x:c r="C529" s="5" t="str">
        <x:f>MID(G529,SEARCH("]",G529)+1,200)</x:f>
        <x:v>삼국과 가야의 성장 과정을 파악한다.</x:v>
      </x:c>
      <x:c r="G529" s="3" t="s">
        <x:v>1804</x:v>
      </x:c>
      <x:c r="K529" s="3"/>
      <x:c r="L529" s="3"/>
    </x:row>
    <x:row r="530" spans="1:12">
      <x:c r="A530" t="s">
        <x:v>44</x:v>
      </x:c>
      <x:c r="B530" s="6" t="str">
        <x:f>LEFT(G530,SEARCH("]",G530))</x:f>
        <x:v>[9역08-03]</x:v>
      </x:c>
      <x:c r="C530" s="5" t="str">
        <x:f>MID(G530,SEARCH("]",G530)+1,200)</x:f>
        <x:v>삼국과 가야가 남긴 문화의 특징을 분석한다.</x:v>
      </x:c>
      <x:c r="G530" s="3" t="s">
        <x:v>1788</x:v>
      </x:c>
      <x:c r="K530" s="3"/>
      <x:c r="L530" s="3"/>
    </x:row>
    <x:row r="531" spans="1:12" ht="32.75">
      <x:c r="A531" t="s">
        <x:v>44</x:v>
      </x:c>
      <x:c r="B531" s="6" t="str">
        <x:f>LEFT(G531,SEARCH("]",G531))</x:f>
        <x:v>[9역09-01]</x:v>
      </x:c>
      <x:c r="C531" s="5" t="str">
        <x:f>MID(G531,SEARCH("]",G531)+1,200)</x:f>
        <x:v>삼국 통일의 과정을 동아시아 국제 정세의 맥락에서 이해하고,통일신라와 발해 성립의 역사적 의의를 추론한다.</x:v>
      </x:c>
      <x:c r="G531" s="3" t="s">
        <x:v>1951</x:v>
      </x:c>
      <x:c r="K531" s="3"/>
      <x:c r="L531" s="3"/>
    </x:row>
    <x:row r="532" spans="1:12">
      <x:c r="A532" t="s">
        <x:v>44</x:v>
      </x:c>
      <x:c r="B532" s="6" t="str">
        <x:f>LEFT(G532,SEARCH("]",G532))</x:f>
        <x:v>[9역09-02]</x:v>
      </x:c>
      <x:c r="C532" s="5" t="str">
        <x:f>MID(G532,SEARCH("]",G532)+1,200)</x:f>
        <x:v>통일신라와 발해의 국가 체제 정비와 변동을 분석한다.</x:v>
      </x:c>
      <x:c r="G532" s="3" t="s">
        <x:v>1738</x:v>
      </x:c>
      <x:c r="K532" s="3"/>
      <x:c r="L532" s="3"/>
    </x:row>
    <x:row r="533" spans="1:12">
      <x:c r="A533" t="s">
        <x:v>44</x:v>
      </x:c>
      <x:c r="B533" s="6" t="str">
        <x:f>LEFT(G533,SEARCH("]",G533))</x:f>
        <x:v>[9역09-03]</x:v>
      </x:c>
      <x:c r="C533" s="5" t="str">
        <x:f>MID(G533,SEARCH("]",G533)+1,200)</x:f>
        <x:v>통일신라와 발해 문화의 특징을 파악한다.</x:v>
      </x:c>
      <x:c r="G533" s="3" t="s">
        <x:v>1803</x:v>
      </x:c>
      <x:c r="K533" s="3"/>
      <x:c r="L533" s="3"/>
    </x:row>
    <x:row r="534" spans="1:12">
      <x:c r="A534" t="s">
        <x:v>44</x:v>
      </x:c>
      <x:c r="B534" s="6" t="str">
        <x:f>LEFT(G534,SEARCH("]",G534))</x:f>
        <x:v>[9역10-01]</x:v>
      </x:c>
      <x:c r="C534" s="5" t="str">
        <x:f>MID(G534,SEARCH("]",G534)+1,200)</x:f>
        <x:v>후삼국 통일과 체제 정비 과정을 통해 고려 성립의 역사적 의미를 탐색한다.</x:v>
      </x:c>
      <x:c r="G534" s="3" t="s">
        <x:v>1834</x:v>
      </x:c>
      <x:c r="K534" s="3"/>
      <x:c r="L534" s="3"/>
    </x:row>
    <x:row r="535" spans="1:12">
      <x:c r="A535" t="s">
        <x:v>44</x:v>
      </x:c>
      <x:c r="B535" s="6" t="str">
        <x:f>LEFT(G535,SEARCH("]",G535))</x:f>
        <x:v>[9역10-02]</x:v>
      </x:c>
      <x:c r="C535" s="5" t="str">
        <x:f>MID(G535,SEARCH("]",G535)+1,200)</x:f>
        <x:v>고려의 정치적 변동을 파악하고 주변국과의 관계를 이해한다.</x:v>
      </x:c>
      <x:c r="G535" s="3" t="s">
        <x:v>250</x:v>
      </x:c>
      <x:c r="K535" s="3"/>
      <x:c r="L535" s="3"/>
    </x:row>
    <x:row r="536" spans="1:12">
      <x:c r="A536" t="s">
        <x:v>44</x:v>
      </x:c>
      <x:c r="B536" s="6" t="str">
        <x:f>LEFT(G536,SEARCH("]",G536))</x:f>
        <x:v>[9역10-03]</x:v>
      </x:c>
      <x:c r="C536" s="5" t="str">
        <x:f>MID(G536,SEARCH("]",G536)+1,200)</x:f>
        <x:v>원 간섭기 고려 사회에 나타난 변화를 파악하고 개혁의 영향을 탐구한다.</x:v>
      </x:c>
      <x:c r="G536" s="3" t="s">
        <x:v>1837</x:v>
      </x:c>
      <x:c r="K536" s="3"/>
      <x:c r="L536" s="3"/>
    </x:row>
    <x:row r="537" spans="1:12">
      <x:c r="A537" t="s">
        <x:v>44</x:v>
      </x:c>
      <x:c r="B537" s="6" t="str">
        <x:f>LEFT(G537,SEARCH("]",G537))</x:f>
        <x:v>[9역10-04]</x:v>
      </x:c>
      <x:c r="C537" s="5" t="str">
        <x:f>MID(G537,SEARCH("]",G537)+1,200)</x:f>
        <x:v>고려의 문화유산과 대외 교류의 사례를 조사하여 그 특징을 파악한다.</x:v>
      </x:c>
      <x:c r="G537" s="3" t="s">
        <x:v>1660</x:v>
      </x:c>
      <x:c r="K537" s="3"/>
      <x:c r="L537" s="3"/>
    </x:row>
    <x:row r="538" spans="1:12">
      <x:c r="A538" t="s">
        <x:v>44</x:v>
      </x:c>
      <x:c r="B538" s="6" t="str">
        <x:f>LEFT(G538,SEARCH("]",G538))</x:f>
        <x:v>[9역11-01]</x:v>
      </x:c>
      <x:c r="C538" s="5" t="str">
        <x:f>MID(G538,SEARCH("]",G538)+1,200)</x:f>
        <x:v>조선 성립의 의의를 통치 체제의 특징을 통해 파악한다.</x:v>
      </x:c>
      <x:c r="G538" s="3" t="s">
        <x:v>1730</x:v>
      </x:c>
      <x:c r="K538" s="3"/>
      <x:c r="L538" s="3"/>
    </x:row>
    <x:row r="539" spans="1:12">
      <x:c r="A539" t="s">
        <x:v>44</x:v>
      </x:c>
      <x:c r="B539" s="6" t="str">
        <x:f>LEFT(G539,SEARCH("]",G539))</x:f>
        <x:v>[9역11-02]</x:v>
      </x:c>
      <x:c r="C539" s="5" t="str">
        <x:f>MID(G539,SEARCH("]",G539)+1,200)</x:f>
        <x:v>사림 세력의 성장이 성리학적 질서 확산에 끼친 영향을 추론한다.</x:v>
      </x:c>
      <x:c r="G539" s="3" t="s">
        <x:v>1669</x:v>
      </x:c>
      <x:c r="K539" s="3"/>
      <x:c r="L539" s="3"/>
    </x:row>
    <x:row r="540" spans="1:12">
      <x:c r="A540" t="s">
        <x:v>44</x:v>
      </x:c>
      <x:c r="B540" s="6" t="str">
        <x:f>LEFT(G540,SEARCH("]",G540))</x:f>
        <x:v>[9역11-03]</x:v>
      </x:c>
      <x:c r="C540" s="5" t="str">
        <x:f>MID(G540,SEARCH("]",G540)+1,200)</x:f>
        <x:v>왜란과 호란의 성격을 동아시아 국제 정세 속에서 분석한다.</x:v>
      </x:c>
      <x:c r="G540" s="3" t="s">
        <x:v>1993</x:v>
      </x:c>
      <x:c r="K540" s="3"/>
      <x:c r="L540" s="3"/>
    </x:row>
    <x:row r="541" spans="1:12">
      <x:c r="A541" t="s">
        <x:v>44</x:v>
      </x:c>
      <x:c r="B541" s="6" t="str">
        <x:f>LEFT(G541,SEARCH("]",G541))</x:f>
        <x:v>[9역12-01]</x:v>
      </x:c>
      <x:c r="C541" s="5" t="str">
        <x:f>MID(G541,SEARCH("]",G541)+1,200)</x:f>
        <x:v>왜란과 호란 이후 체제 재정비의 노력과 정치 변동의 모습을 파악한다.</x:v>
      </x:c>
      <x:c r="G541" s="3" t="s">
        <x:v>1665</x:v>
      </x:c>
      <x:c r="K541" s="3"/>
      <x:c r="L541" s="3"/>
    </x:row>
    <x:row r="542" spans="1:12">
      <x:c r="A542" t="s">
        <x:v>44</x:v>
      </x:c>
      <x:c r="B542" s="6" t="str">
        <x:f>LEFT(G542,SEARCH("]",G542))</x:f>
        <x:v>[9역12-02]</x:v>
      </x:c>
      <x:c r="C542" s="5" t="str">
        <x:f>MID(G542,SEARCH("]",G542)+1,200)</x:f>
        <x:v>조선 후기 문화에서 나타난 변화를 분석한다.</x:v>
      </x:c>
      <x:c r="G542" s="3" t="s">
        <x:v>1789</x:v>
      </x:c>
      <x:c r="K542" s="3"/>
      <x:c r="L542" s="3"/>
    </x:row>
    <x:row r="543" spans="1:12">
      <x:c r="A543" t="s">
        <x:v>44</x:v>
      </x:c>
      <x:c r="B543" s="6" t="str">
        <x:f>LEFT(G543,SEARCH("]",G543))</x:f>
        <x:v>[9역12-03]</x:v>
      </x:c>
      <x:c r="C543" s="5" t="str">
        <x:f>MID(G543,SEARCH("]",G543)+1,200)</x:f>
        <x:v>조선 후기 사회적 모순에 대한 여러 세력의 대응을 탐구한다.</x:v>
      </x:c>
      <x:c r="G543" s="3" t="s">
        <x:v>1986</x:v>
      </x:c>
      <x:c r="K543" s="3"/>
      <x:c r="L543" s="3"/>
    </x:row>
    <x:row r="544" spans="1:12">
      <x:c r="A544" t="s">
        <x:v>44</x:v>
      </x:c>
      <x:c r="B544" s="6" t="str">
        <x:f>LEFT(G544,SEARCH("]",G544))</x:f>
        <x:v>[9역13-01]</x:v>
      </x:c>
      <x:c r="C544" s="5" t="str">
        <x:f>MID(G544,SEARCH("]",G544)+1,200)</x:f>
        <x:v>개항 이후 근대 국가를 건설하기 위한 노력을 파악한다.</x:v>
      </x:c>
      <x:c r="G544" s="3" t="s">
        <x:v>1734</x:v>
      </x:c>
      <x:c r="K544" s="3"/>
      <x:c r="L544" s="3"/>
    </x:row>
    <x:row r="545" spans="1:12">
      <x:c r="A545" t="s">
        <x:v>44</x:v>
      </x:c>
      <x:c r="B545" s="6" t="str">
        <x:f>LEFT(G545,SEARCH("]",G545))</x:f>
        <x:v>[9역13-02]</x:v>
      </x:c>
      <x:c r="C545" s="5" t="str">
        <x:f>MID(G545,SEARCH("]",G545)+1,200)</x:f>
        <x:v>국권 피탈 이후 전개된 민족 운동을 세계사적 관점에서 이해한다.</x:v>
      </x:c>
      <x:c r="G545" s="3" t="s">
        <x:v>1666</x:v>
      </x:c>
      <x:c r="K545" s="3"/>
      <x:c r="L545" s="3"/>
    </x:row>
    <x:row r="546" spans="1:12">
      <x:c r="A546" t="s">
        <x:v>44</x:v>
      </x:c>
      <x:c r="B546" s="6" t="str">
        <x:f>LEFT(G546,SEARCH("]",G546))</x:f>
        <x:v>[9역13-03]</x:v>
      </x:c>
      <x:c r="C546" s="5" t="str">
        <x:f>MID(G546,SEARCH("]",G546)+1,200)</x:f>
        <x:v>한국의 민주화 과정에서 나타난 성과와 과제를 탐구한다.</x:v>
      </x:c>
      <x:c r="G546" s="3" t="s">
        <x:v>1735</x:v>
      </x:c>
      <x:c r="K546" s="3"/>
      <x:c r="L546" s="3"/>
    </x:row>
    <x:row r="547" spans="1:12" ht="32.75">
      <x:c r="A547" t="s">
        <x:v>44</x:v>
      </x:c>
      <x:c r="B547" s="6" t="str">
        <x:f>LEFT(G547,SEARCH("]",G547))</x:f>
        <x:v>[9역13-04]</x:v>
      </x:c>
      <x:c r="C547" s="5" t="str">
        <x:f>MID(G547,SEARCH("]",G547)+1,200)</x:f>
        <x:v>지속가능한 사회를 위한 과제를 역사적 맥락에서 탐구하고,과제 해결에 참여하는 자세를갖는다.</x:v>
      </x:c>
      <x:c r="G547" s="3" t="s">
        <x:v>97</x:v>
      </x:c>
      <x:c r="K547" s="3"/>
      <x:c r="L547" s="3"/>
    </x:row>
    <x:row r="548" spans="1:12">
      <x:c r="A548" t="s">
        <x:v>40</x:v>
      </x:c>
      <x:c r="B548" s="6" t="str">
        <x:f>LEFT(G548,SEARCH("]",G548))</x:f>
        <x:v>[9영01-01]</x:v>
      </x:c>
      <x:c r="C548" s="5" t="str">
        <x:f>MID(G548,SEARCH("]",G548)+1,200)</x:f>
        <x:v>단어,어구,문장을 듣고 연음이나 축약된 소리를 식별한다.</x:v>
      </x:c>
      <x:c r="G548" s="3" t="s">
        <x:v>1988</x:v>
      </x:c>
      <x:c r="K548" s="3"/>
      <x:c r="L548" s="3"/>
    </x:row>
    <x:row r="549" spans="1:12">
      <x:c r="A549" t="s">
        <x:v>40</x:v>
      </x:c>
      <x:c r="B549" s="6" t="str">
        <x:f>LEFT(G549,SEARCH("]",G549))</x:f>
        <x:v>[9영01-02]</x:v>
      </x:c>
      <x:c r="C549" s="5" t="str">
        <x:f>MID(G549,SEARCH("]",G549)+1,200)</x:f>
        <x:v>친숙한 주제에 관한 담화나 글에서 세부 정보를 파악한다.</x:v>
      </x:c>
      <x:c r="G549" s="3" t="s">
        <x:v>1990</x:v>
      </x:c>
      <x:c r="K549" s="3"/>
      <x:c r="L549" s="3"/>
    </x:row>
    <x:row r="550" spans="1:12">
      <x:c r="A550" t="s">
        <x:v>40</x:v>
      </x:c>
      <x:c r="B550" s="6" t="str">
        <x:f>LEFT(G550,SEARCH("]",G550))</x:f>
        <x:v>[9영01-03]</x:v>
      </x:c>
      <x:c r="C550" s="5" t="str">
        <x:f>MID(G550,SEARCH("]",G550)+1,200)</x:f>
        <x:v>친숙한 주제에 관한 담화나 글의 중심 내용을 파악한다.</x:v>
      </x:c>
      <x:c r="G550" s="3" t="s">
        <x:v>1736</x:v>
      </x:c>
      <x:c r="K550" s="3"/>
      <x:c r="L550" s="3"/>
    </x:row>
    <x:row r="551" spans="1:12">
      <x:c r="A551" t="s">
        <x:v>40</x:v>
      </x:c>
      <x:c r="B551" s="6" t="str">
        <x:f>LEFT(G551,SEARCH("]",G551))</x:f>
        <x:v>[9영01-04]</x:v>
      </x:c>
      <x:c r="C551" s="5" t="str">
        <x:f>MID(G551,SEARCH("]",G551)+1,200)</x:f>
        <x:v>친숙한 주제에 관한 담화나 글에서 일이나 사건의 논리적 관계를 파악한다.</x:v>
      </x:c>
      <x:c r="G551" s="3" t="s">
        <x:v>1820</x:v>
      </x:c>
      <x:c r="K551" s="3"/>
      <x:c r="L551" s="3"/>
    </x:row>
    <x:row r="552" spans="1:12">
      <x:c r="A552" t="s">
        <x:v>40</x:v>
      </x:c>
      <x:c r="B552" s="6" t="str">
        <x:f>LEFT(G552,SEARCH("]",G552))</x:f>
        <x:v>[9영01-05]</x:v>
      </x:c>
      <x:c r="C552" s="5" t="str">
        <x:f>MID(G552,SEARCH("]",G552)+1,200)</x:f>
        <x:v>친숙한 주제에 관한 담화나 글에서 인물의 기분이나 감정을 추론한다.</x:v>
      </x:c>
      <x:c r="G552" s="3" t="s">
        <x:v>1663</x:v>
      </x:c>
      <x:c r="K552" s="3"/>
      <x:c r="L552" s="3"/>
    </x:row>
    <x:row r="553" spans="1:12">
      <x:c r="A553" t="s">
        <x:v>40</x:v>
      </x:c>
      <x:c r="B553" s="6" t="str">
        <x:f>LEFT(G553,SEARCH("]",G553))</x:f>
        <x:v>[9영01-06]</x:v>
      </x:c>
      <x:c r="C553" s="5" t="str">
        <x:f>MID(G553,SEARCH("]",G553)+1,200)</x:f>
        <x:v>친숙한 주제에 관한 담화나 글에서 화자나 필자의 의도나 목적을 추론한다.</x:v>
      </x:c>
      <x:c r="G553" s="3" t="s">
        <x:v>1823</x:v>
      </x:c>
      <x:c r="K553" s="3"/>
      <x:c r="L553" s="3"/>
    </x:row>
    <x:row r="554" spans="1:12">
      <x:c r="A554" t="s">
        <x:v>40</x:v>
      </x:c>
      <x:c r="B554" s="6" t="str">
        <x:f>LEFT(G554,SEARCH("]",G554))</x:f>
        <x:v>[9영01-07]</x:v>
      </x:c>
      <x:c r="C554" s="5" t="str">
        <x:f>MID(G554,SEARCH("]",G554)+1,200)</x:f>
        <x:v>단어,어구,문장의 함축적 의미를 추론한다.</x:v>
      </x:c>
      <x:c r="G554" s="3" t="s">
        <x:v>1783</x:v>
      </x:c>
      <x:c r="K554" s="3"/>
      <x:c r="L554" s="3"/>
    </x:row>
    <x:row r="555" spans="1:12">
      <x:c r="A555" t="s">
        <x:v>40</x:v>
      </x:c>
      <x:c r="B555" s="6" t="str">
        <x:f>LEFT(G555,SEARCH("]",G555))</x:f>
        <x:v>[9영01-08]</x:v>
      </x:c>
      <x:c r="C555" s="5" t="str">
        <x:f>MID(G555,SEARCH("]",G555)+1,200)</x:f>
        <x:v>적절한 전략을 활용하여 다양한 매체로 표현된 담화나 글을 듣거나 읽는다.</x:v>
      </x:c>
      <x:c r="G555" s="3" t="s">
        <x:v>1824</x:v>
      </x:c>
      <x:c r="K555" s="3"/>
      <x:c r="L555" s="3"/>
    </x:row>
    <x:row r="556" spans="1:12">
      <x:c r="A556" t="s">
        <x:v>40</x:v>
      </x:c>
      <x:c r="B556" s="6" t="str">
        <x:f>LEFT(G556,SEARCH("]",G556))</x:f>
        <x:v>[9영01-09]</x:v>
      </x:c>
      <x:c r="C556" s="5" t="str">
        <x:f>MID(G556,SEARCH("]",G556)+1,200)</x:f>
        <x:v>다양한 관점을 존중하는 태도로 듣거나 읽는다.</x:v>
      </x:c>
      <x:c r="G556" s="3" t="s">
        <x:v>1787</x:v>
      </x:c>
      <x:c r="K556" s="3"/>
      <x:c r="L556" s="3"/>
    </x:row>
    <x:row r="557" spans="1:12">
      <x:c r="A557" t="s">
        <x:v>40</x:v>
      </x:c>
      <x:c r="B557" s="6" t="str">
        <x:f>LEFT(G557,SEARCH("]",G557))</x:f>
        <x:v>[9영01-10]</x:v>
      </x:c>
      <x:c r="C557" s="5" t="str">
        <x:f>MID(G557,SEARCH("]",G557)+1,200)</x:f>
        <x:v>자신의 관심사에 관한 다양한 담화나 글을 선택하여 적극적으로 듣거나 읽는다.</x:v>
      </x:c>
      <x:c r="G557" s="3" t="s">
        <x:v>1849</x:v>
      </x:c>
      <x:c r="K557" s="3"/>
      <x:c r="L557" s="3"/>
    </x:row>
    <x:row r="558" spans="1:12">
      <x:c r="A558" t="s">
        <x:v>40</x:v>
      </x:c>
      <x:c r="B558" s="6" t="str">
        <x:f>LEFT(G558,SEARCH("]",G558))</x:f>
        <x:v>[9영02-01]</x:v>
      </x:c>
      <x:c r="C558" s="5" t="str">
        <x:f>MID(G558,SEARCH("]",G558)+1,200)</x:f>
        <x:v>연음이나 축약된 소리를 활용하여 단어,어구,문장을 말한다.</x:v>
      </x:c>
      <x:c r="G558" s="3" t="s">
        <x:v>1983</x:v>
      </x:c>
      <x:c r="K558" s="3"/>
      <x:c r="L558" s="3"/>
    </x:row>
    <x:row r="559" spans="1:12">
      <x:c r="A559" t="s">
        <x:v>40</x:v>
      </x:c>
      <x:c r="B559" s="6" t="str">
        <x:f>LEFT(G559,SEARCH("]",G559))</x:f>
        <x:v>[9영02-02]</x:v>
      </x:c>
      <x:c r="C559" s="5" t="str">
        <x:f>MID(G559,SEARCH("]",G559)+1,200)</x:f>
        <x:v>대상이나 인물의 감정을 묘사한다.</x:v>
      </x:c>
      <x:c r="G559" s="3" t="s">
        <x:v>1715</x:v>
      </x:c>
      <x:c r="K559" s="3"/>
      <x:c r="L559" s="3"/>
    </x:row>
    <x:row r="560" spans="1:12">
      <x:c r="A560" t="s">
        <x:v>40</x:v>
      </x:c>
      <x:c r="B560" s="6" t="str">
        <x:f>LEFT(G560,SEARCH("]",G560))</x:f>
        <x:v>[9영02-03]</x:v>
      </x:c>
      <x:c r="C560" s="5" t="str">
        <x:f>MID(G560,SEARCH("]",G560)+1,200)</x:f>
        <x:v>친숙한 주제에 관해 사실적 정보를 설명한다.</x:v>
      </x:c>
      <x:c r="G560" s="3" t="s">
        <x:v>1785</x:v>
      </x:c>
      <x:c r="K560" s="3"/>
      <x:c r="L560" s="3"/>
    </x:row>
    <x:row r="561" spans="1:12">
      <x:c r="A561" t="s">
        <x:v>40</x:v>
      </x:c>
      <x:c r="B561" s="6" t="str">
        <x:f>LEFT(G561,SEARCH("]",G561))</x:f>
        <x:v>[9영02-04]</x:v>
      </x:c>
      <x:c r="C561" s="5" t="str">
        <x:f>MID(G561,SEARCH("]",G561)+1,200)</x:f>
        <x:v>친숙한 주제에 관해 경험이나 계획을 설명한다.</x:v>
      </x:c>
      <x:c r="G561" s="3" t="s">
        <x:v>1776</x:v>
      </x:c>
      <x:c r="K561" s="3"/>
      <x:c r="L561" s="3"/>
    </x:row>
    <x:row r="562" spans="1:12">
      <x:c r="A562" t="s">
        <x:v>40</x:v>
      </x:c>
      <x:c r="B562" s="6" t="str">
        <x:f>LEFT(G562,SEARCH("]",G562))</x:f>
        <x:v>[9영02-05]</x:v>
      </x:c>
      <x:c r="C562" s="5" t="str">
        <x:f>MID(G562,SEARCH("]",G562)+1,200)</x:f>
        <x:v>친숙한 주제에 관해 일이나 사건의 논리적 관계를 설명한다.</x:v>
      </x:c>
      <x:c r="G562" s="3" t="s">
        <x:v>1976</x:v>
      </x:c>
      <x:c r="K562" s="3"/>
      <x:c r="L562" s="3"/>
    </x:row>
    <x:row r="563" spans="1:12">
      <x:c r="A563" t="s">
        <x:v>40</x:v>
      </x:c>
      <x:c r="B563" s="6" t="str">
        <x:f>LEFT(G563,SEARCH("]",G563))</x:f>
        <x:v>[9영02-06]</x:v>
      </x:c>
      <x:c r="C563" s="5" t="str">
        <x:f>MID(G563,SEARCH("]",G563)+1,200)</x:f>
        <x:v>친숙한 주제에 관해 자신의 의견을 주장한다.</x:v>
      </x:c>
      <x:c r="G563" s="3" t="s">
        <x:v>1790</x:v>
      </x:c>
      <x:c r="K563" s="3"/>
      <x:c r="L563" s="3"/>
    </x:row>
    <x:row r="564" spans="1:12">
      <x:c r="A564" t="s">
        <x:v>40</x:v>
      </x:c>
      <x:c r="B564" s="6" t="str">
        <x:f>LEFT(G564,SEARCH("]",G564))</x:f>
        <x:v>[9영02-07]</x:v>
      </x:c>
      <x:c r="C564" s="5" t="str">
        <x:f>MID(G564,SEARCH("]",G564)+1,200)</x:f>
        <x:v>친숙한 주제에 관해 듣거나 읽고 내용을 요약한다.</x:v>
      </x:c>
      <x:c r="G564" s="3" t="s">
        <x:v>1739</x:v>
      </x:c>
      <x:c r="K564" s="3"/>
      <x:c r="L564" s="3"/>
    </x:row>
    <x:row r="565" spans="1:12">
      <x:c r="A565" t="s">
        <x:v>40</x:v>
      </x:c>
      <x:c r="B565" s="6" t="str">
        <x:f>LEFT(G565,SEARCH("]",G565))</x:f>
        <x:v>[9영02-08]</x:v>
      </x:c>
      <x:c r="C565" s="5" t="str">
        <x:f>MID(G565,SEARCH("]",G565)+1,200)</x:f>
        <x:v>간단한 일기,편지,이메일 등의 글을 쓴다.</x:v>
      </x:c>
      <x:c r="G565" s="3" t="s">
        <x:v>1791</x:v>
      </x:c>
      <x:c r="K565" s="3"/>
      <x:c r="L565" s="3"/>
    </x:row>
    <x:row r="566" spans="1:12">
      <x:c r="A566" t="s">
        <x:v>40</x:v>
      </x:c>
      <x:c r="B566" s="6" t="str">
        <x:f>LEFT(G566,SEARCH("]",G566))</x:f>
        <x:v>[9영02-09]</x:v>
      </x:c>
      <x:c r="C566" s="5" t="str">
        <x:f>MID(G566,SEARCH("]",G566)+1,200)</x:f>
        <x:v>적절한 매체를 활용하여 정보 윤리를 준수하며 말하거나 쓴다.</x:v>
      </x:c>
      <x:c r="G566" s="3" t="s">
        <x:v>1987</x:v>
      </x:c>
      <x:c r="K566" s="3"/>
      <x:c r="L566" s="3"/>
    </x:row>
    <x:row r="567" spans="1:12">
      <x:c r="A567" t="s">
        <x:v>40</x:v>
      </x:c>
      <x:c r="B567" s="6" t="str">
        <x:f>LEFT(G567,SEARCH("]",G567))</x:f>
        <x:v>[9영02-10]</x:v>
      </x:c>
      <x:c r="C567" s="5" t="str">
        <x:f>MID(G567,SEARCH("]",G567)+1,200)</x:f>
        <x:v>적절한 전략을 활용하여 상황이나 목적에 맞게 말하거나 쓴다.</x:v>
      </x:c>
      <x:c r="G567" s="3" t="s">
        <x:v>1980</x:v>
      </x:c>
      <x:c r="K567" s="3"/>
      <x:c r="L567" s="3"/>
    </x:row>
    <x:row r="568" spans="1:12">
      <x:c r="A568" t="s">
        <x:v>40</x:v>
      </x:c>
      <x:c r="B568" s="6" t="str">
        <x:f>LEFT(G568,SEARCH("]",G568))</x:f>
        <x:v>[9영02-11]</x:v>
      </x:c>
      <x:c r="C568" s="5" t="str">
        <x:f>MID(G568,SEARCH("]",G568)+1,200)</x:f>
        <x:v>상대방을 배려하는 태도로 말하거나 쓴다.</x:v>
      </x:c>
      <x:c r="G568" s="3" t="s">
        <x:v>1805</x:v>
      </x:c>
      <x:c r="K568" s="3"/>
      <x:c r="L568" s="3"/>
    </x:row>
    <x:row r="569" spans="1:12">
      <x:c r="A569" t="s">
        <x:v>39</x:v>
      </x:c>
      <x:c r="B569" s="6" t="str">
        <x:f>LEFT(G569,SEARCH("]",G569))</x:f>
        <x:v>[9음01-01]</x:v>
      </x:c>
      <x:c r="C569" s="5" t="str">
        <x:f>MID(G569,SEARCH("]",G569)+1,200)</x:f>
        <x:v>다양한 주법과 표현 기법을 향상시켜 노래나 악기로 개성 있게 연주한다.</x:v>
      </x:c>
      <x:c r="G569" s="3" t="s">
        <x:v>1841</x:v>
      </x:c>
      <x:c r="K569" s="3"/>
      <x:c r="L569" s="3"/>
    </x:row>
    <x:row r="570" spans="1:12">
      <x:c r="A570" t="s">
        <x:v>39</x:v>
      </x:c>
      <x:c r="B570" s="6" t="str">
        <x:f>LEFT(G570,SEARCH("]",G570))</x:f>
        <x:v>[9음01-02]</x:v>
      </x:c>
      <x:c r="C570" s="5" t="str">
        <x:f>MID(G570,SEARCH("]",G570)+1,200)</x:f>
        <x:v>음악 요소와 음악적 특징을 살려 노래나 악기로 발표하고 평한다.</x:v>
      </x:c>
      <x:c r="G570" s="3" t="s">
        <x:v>1664</x:v>
      </x:c>
      <x:c r="K570" s="3"/>
      <x:c r="L570" s="3"/>
    </x:row>
    <x:row r="571" spans="1:12">
      <x:c r="A571" t="s">
        <x:v>39</x:v>
      </x:c>
      <x:c r="B571" s="6" t="str">
        <x:f>LEFT(G571,SEARCH("]",G571))</x:f>
        <x:v>[9음01-03]</x:v>
      </x:c>
      <x:c r="C571" s="5" t="str">
        <x:f>MID(G571,SEARCH("]",G571)+1,200)</x:f>
        <x:v>소리의 상호작용을 인식하고 매체를 활용하여 함께 표현한다.</x:v>
      </x:c>
      <x:c r="G571" s="3" t="s">
        <x:v>1992</x:v>
      </x:c>
      <x:c r="K571" s="3"/>
      <x:c r="L571" s="3"/>
    </x:row>
    <x:row r="572" spans="1:12">
      <x:c r="A572" t="s">
        <x:v>39</x:v>
      </x:c>
      <x:c r="B572" s="6" t="str">
        <x:f>LEFT(G572,SEARCH("]",G572))</x:f>
        <x:v>[9음01-04]</x:v>
      </x:c>
      <x:c r="C572" s="5" t="str">
        <x:f>MID(G572,SEARCH("]",G572)+1,200)</x:f>
        <x:v>생활 속 다양한 형태의 연주에 참여하고 전통과 현대의 연주 문화 다양성을 인식한다.</x:v>
      </x:c>
      <x:c r="G572" s="3" t="s">
        <x:v>1995</x:v>
      </x:c>
      <x:c r="K572" s="3"/>
      <x:c r="L572" s="3"/>
    </x:row>
    <x:row r="573" spans="1:12">
      <x:c r="A573" t="s">
        <x:v>39</x:v>
      </x:c>
      <x:c r="B573" s="6" t="str">
        <x:f>LEFT(G573,SEARCH("]",G573))</x:f>
        <x:v>[9음02-01]</x:v>
      </x:c>
      <x:c r="C573" s="5" t="str">
        <x:f>MID(G573,SEARCH("]",G573)+1,200)</x:f>
        <x:v>음악을 듣고 다양한 음악 요소에 집중하여 분석한다.</x:v>
      </x:c>
      <x:c r="G573" s="3" t="s">
        <x:v>2094</x:v>
      </x:c>
      <x:c r="K573" s="3"/>
      <x:c r="L573" s="3"/>
    </x:row>
    <x:row r="574" spans="1:12">
      <x:c r="A574" t="s">
        <x:v>39</x:v>
      </x:c>
      <x:c r="B574" s="6" t="str">
        <x:f>LEFT(G574,SEARCH("]",G574))</x:f>
        <x:v>[9음02-02]</x:v>
      </x:c>
      <x:c r="C574" s="5" t="str">
        <x:f>MID(G574,SEARCH("]",G574)+1,200)</x:f>
        <x:v>다양한 시대와 문화권의 음악을 듣고 음악적 특징과 음악의 구성을 파악한다.</x:v>
      </x:c>
      <x:c r="G574" s="3" t="s">
        <x:v>1842</x:v>
      </x:c>
      <x:c r="K574" s="3"/>
      <x:c r="L574" s="3"/>
    </x:row>
    <x:row r="575" spans="1:12">
      <x:c r="A575" t="s">
        <x:v>39</x:v>
      </x:c>
      <x:c r="B575" s="6" t="str">
        <x:f>LEFT(G575,SEARCH("]",G575))</x:f>
        <x:v>[9음02-03]</x:v>
      </x:c>
      <x:c r="C575" s="5" t="str">
        <x:f>MID(G575,SEARCH("]",G575)+1,200)</x:f>
        <x:v>다양한 시대⋅사회⋅문화권의 음악을 듣고 음악의 배경과 역할을 비교한다.</x:v>
      </x:c>
      <x:c r="G575" s="3" t="s">
        <x:v>1856</x:v>
      </x:c>
      <x:c r="K575" s="3"/>
      <x:c r="L575" s="3"/>
    </x:row>
    <x:row r="576" spans="1:12">
      <x:c r="A576" t="s">
        <x:v>39</x:v>
      </x:c>
      <x:c r="B576" s="6" t="str">
        <x:f>LEFT(G576,SEARCH("]",G576))</x:f>
        <x:v>[9음02-04]</x:v>
      </x:c>
      <x:c r="C576" s="5" t="str">
        <x:f>MID(G576,SEARCH("]",G576)+1,200)</x:f>
        <x:v>생활 속에서 음악을 들으며 다양한 감성과 가치를 인식하고 존중한다.</x:v>
      </x:c>
      <x:c r="G576" s="3" t="s">
        <x:v>1667</x:v>
      </x:c>
      <x:c r="K576" s="3"/>
      <x:c r="L576" s="3"/>
    </x:row>
    <x:row r="577" spans="1:12" ht="32.75">
      <x:c r="A577" t="s">
        <x:v>39</x:v>
      </x:c>
      <x:c r="B577" s="6" t="str">
        <x:f>LEFT(G577,SEARCH("]",G577))</x:f>
        <x:v>[9음02-05]</x:v>
      </x:c>
      <x:c r="C577" s="5" t="str">
        <x:f>MID(G577,SEARCH("]",G577)+1,200)</x:f>
        <x:v>유네스코에 등재된 우리나라의 음악 문화유산을 찾아 듣고,세계 속 국악의 위상과 문화적 가치를 인식한다.</x:v>
      </x:c>
      <x:c r="G577" s="3" t="s">
        <x:v>554</x:v>
      </x:c>
      <x:c r="K577" s="3"/>
      <x:c r="L577" s="3"/>
    </x:row>
    <x:row r="578" spans="1:12">
      <x:c r="A578" t="s">
        <x:v>39</x:v>
      </x:c>
      <x:c r="B578" s="6" t="str">
        <x:f>LEFT(G578,SEARCH("]",G578))</x:f>
        <x:v>[9음03-01]</x:v>
      </x:c>
      <x:c r="C578" s="5" t="str">
        <x:f>MID(G578,SEARCH("]",G578)+1,200)</x:f>
        <x:v>음악적 의도나 아이디어를 여러 매체나 방법에 적용하여 자기 주도적으로 창작한다.</x:v>
      </x:c>
      <x:c r="G578" s="3" t="s">
        <x:v>2009</x:v>
      </x:c>
      <x:c r="K578" s="3"/>
      <x:c r="L578" s="3"/>
    </x:row>
    <x:row r="579" spans="1:12">
      <x:c r="A579" t="s">
        <x:v>39</x:v>
      </x:c>
      <x:c r="B579" s="6" t="str">
        <x:f>LEFT(G579,SEARCH("]",G579))</x:f>
        <x:v>[9음03-02]</x:v>
      </x:c>
      <x:c r="C579" s="5" t="str">
        <x:f>MID(G579,SEARCH("]",G579)+1,200)</x:f>
        <x:v>오선보,정간보 등의 기보법을 활용하여 조건에 따라 악곡의 일부를 바꾼다.</x:v>
      </x:c>
      <x:c r="G579" s="3" t="s">
        <x:v>1850</x:v>
      </x:c>
      <x:c r="K579" s="3"/>
      <x:c r="L579" s="3"/>
    </x:row>
    <x:row r="580" spans="1:12">
      <x:c r="A580" t="s">
        <x:v>39</x:v>
      </x:c>
      <x:c r="B580" s="6" t="str">
        <x:f>LEFT(G580,SEARCH("]",G580))</x:f>
        <x:v>[9음03-03]</x:v>
      </x:c>
      <x:c r="C580" s="5" t="str">
        <x:f>MID(G580,SEARCH("]",G580)+1,200)</x:f>
        <x:v>음악의 요소와 특징을 활용하여 간단한 형식의 음악을 만든다.</x:v>
      </x:c>
      <x:c r="G580" s="3" t="s">
        <x:v>1984</x:v>
      </x:c>
      <x:c r="K580" s="3"/>
      <x:c r="L580" s="3"/>
    </x:row>
    <x:row r="581" spans="1:12">
      <x:c r="A581" t="s">
        <x:v>39</x:v>
      </x:c>
      <x:c r="B581" s="6" t="str">
        <x:f>LEFT(G581,SEARCH("]",G581))</x:f>
        <x:v>[9음03-04]</x:v>
      </x:c>
      <x:c r="C581" s="5" t="str">
        <x:f>MID(G581,SEARCH("]",G581)+1,200)</x:f>
        <x:v>생활 속의 영역과 연계하여 음악을 만들고 활용하며 책임감을 갖는다.</x:v>
      </x:c>
      <x:c r="G581" s="3" t="s">
        <x:v>1668</x:v>
      </x:c>
      <x:c r="K581" s="3"/>
      <x:c r="L581" s="3"/>
    </x:row>
    <x:row r="582" spans="1:12">
      <x:c r="A582" t="s">
        <x:v>45</x:v>
      </x:c>
      <x:c r="B582" s="6" t="str">
        <x:f>LEFT(G582,SEARCH("]",G582))</x:f>
        <x:v>[9정01-01]</x:v>
      </x:c>
      <x:c r="C582" s="5" t="str">
        <x:f>MID(G582,SEARCH("]",G582)+1,200)</x:f>
        <x:v>컴퓨팅 시스템의 구성요소와 동작 원리를 이해하고,운영 체제의 기능을 분석한다.</x:v>
      </x:c>
      <x:c r="G582" s="3" t="s">
        <x:v>1998</x:v>
      </x:c>
      <x:c r="K582" s="3"/>
      <x:c r="L582" s="3"/>
    </x:row>
    <x:row r="583" spans="1:12" ht="32.75">
      <x:c r="A583" t="s">
        <x:v>45</x:v>
      </x:c>
      <x:c r="B583" s="6" t="str">
        <x:f>LEFT(G583,SEARCH("]",G583))</x:f>
        <x:v>[9정01-02]</x:v>
      </x:c>
      <x:c r="C583" s="5" t="str">
        <x:f>MID(G583,SEARCH("]",G583)+1,200)</x:f>
        <x:v>피지컬 컴퓨팅의 개념을 이해하고,생활 속에서 적용된 사례 조사를 통해 컴퓨팅 시스템의필요성과 가치를 판단한다.</x:v>
      </x:c>
      <x:c r="G583" s="3" t="s">
        <x:v>63</x:v>
      </x:c>
      <x:c r="K583" s="3"/>
      <x:c r="L583" s="3"/>
    </x:row>
    <x:row r="584" spans="1:12">
      <x:c r="A584" t="s">
        <x:v>45</x:v>
      </x:c>
      <x:c r="B584" s="6" t="str">
        <x:f>LEFT(G584,SEARCH("]",G584))</x:f>
        <x:v>[9정01-03]</x:v>
      </x:c>
      <x:c r="C584" s="5" t="str">
        <x:f>MID(G584,SEARCH("]",G584)+1,200)</x:f>
        <x:v>문제 해결 목적에 맞는 피지컬 컴퓨팅 구성요소를 선택하여 시스템을 구상한다.</x:v>
      </x:c>
      <x:c r="G584" s="3" t="s">
        <x:v>1854</x:v>
      </x:c>
      <x:c r="K584" s="3"/>
      <x:c r="L584" s="3"/>
    </x:row>
    <x:row r="585" spans="1:12" ht="32.75">
      <x:c r="A585" t="s">
        <x:v>45</x:v>
      </x:c>
      <x:c r="B585" s="6" t="str">
        <x:f>LEFT(G585,SEARCH("]",G585))</x:f>
        <x:v>[9정02-01]</x:v>
      </x:c>
      <x:c r="C585" s="5" t="str">
        <x:f>MID(G585,SEARCH("]",G585)+1,200)</x:f>
        <x:v>실생활의 데이터가 디지털 형태로 변환되어 활용되는 긍정적 가치를 탐색하고,다양한데이터를 디지털 형태로 표현한다.</x:v>
      </x:c>
      <x:c r="G585" s="3" t="s">
        <x:v>66</x:v>
      </x:c>
      <x:c r="K585" s="3"/>
      <x:c r="L585" s="3"/>
    </x:row>
    <x:row r="586" spans="1:12">
      <x:c r="A586" t="s">
        <x:v>45</x:v>
      </x:c>
      <x:c r="B586" s="6" t="str">
        <x:f>LEFT(G586,SEARCH("]",G586))</x:f>
        <x:v>[9정02-02]</x:v>
      </x:c>
      <x:c r="C586" s="5" t="str">
        <x:f>MID(G586,SEARCH("]",G586)+1,200)</x:f>
        <x:v>문제 해결에 적합한 데이터를 수집하고,목적에 맞게 구분하여 관리한다.</x:v>
      </x:c>
      <x:c r="G586" s="3" t="s">
        <x:v>1661</x:v>
      </x:c>
      <x:c r="K586" s="3"/>
      <x:c r="L586" s="3"/>
    </x:row>
    <x:row r="587" spans="1:12">
      <x:c r="A587" t="s">
        <x:v>45</x:v>
      </x:c>
      <x:c r="B587" s="6" t="str">
        <x:f>LEFT(G587,SEARCH("]",G587))</x:f>
        <x:v>[9정02-03]</x:v>
      </x:c>
      <x:c r="C587" s="5" t="str">
        <x:f>MID(G587,SEARCH("]",G587)+1,200)</x:f>
        <x:v>실생활의 데이터를 표,다이어그램 등 다양한 형태로 구조화한다.</x:v>
      </x:c>
      <x:c r="G587" s="3" t="s">
        <x:v>1991</x:v>
      </x:c>
      <x:c r="K587" s="3"/>
      <x:c r="L587" s="3"/>
    </x:row>
    <x:row r="588" spans="1:12">
      <x:c r="A588" t="s">
        <x:v>45</x:v>
      </x:c>
      <x:c r="B588" s="6" t="str">
        <x:f>LEFT(G588,SEARCH("]",G588))</x:f>
        <x:v>[9정02-04]</x:v>
      </x:c>
      <x:c r="C588" s="5" t="str">
        <x:f>MID(G588,SEARCH("]",G588)+1,200)</x:f>
        <x:v>사례를 중심으로 데이터 간의 관계를 파악하고,데이터에 기반하여 의미를 해석한다.</x:v>
      </x:c>
      <x:c r="G588" s="3" t="s">
        <x:v>1999</x:v>
      </x:c>
      <x:c r="K588" s="3"/>
      <x:c r="L588" s="3"/>
    </x:row>
    <x:row r="589" spans="1:12">
      <x:c r="A589" t="s">
        <x:v>45</x:v>
      </x:c>
      <x:c r="B589" s="6" t="str">
        <x:f>LEFT(G589,SEARCH("]",G589))</x:f>
        <x:v>[9정02-05]</x:v>
      </x:c>
      <x:c r="C589" s="5" t="str">
        <x:f>MID(G589,SEARCH("]",G589)+1,200)</x:f>
        <x:v>여러 학문 분야의 사례를 중심으로 데이터를 수집⋅분석하여 융합적으로 문제를 해결한다.</x:v>
      </x:c>
      <x:c r="G589" s="3" t="s">
        <x:v>105</x:v>
      </x:c>
      <x:c r="K589" s="3"/>
      <x:c r="L589" s="3"/>
    </x:row>
    <x:row r="590" spans="1:12">
      <x:c r="A590" t="s">
        <x:v>45</x:v>
      </x:c>
      <x:c r="B590" s="6" t="str">
        <x:f>LEFT(G590,SEARCH("]",G590))</x:f>
        <x:v>[9정03-01]</x:v>
      </x:c>
      <x:c r="C590" s="5" t="str">
        <x:f>MID(G590,SEARCH("]",G590)+1,200)</x:f>
        <x:v>문제의 상태를 정의하고 수행 가능한 형태로 구조화한다.</x:v>
      </x:c>
      <x:c r="G590" s="3" t="s">
        <x:v>2091</x:v>
      </x:c>
      <x:c r="K590" s="3"/>
      <x:c r="L590" s="3"/>
    </x:row>
    <x:row r="591" spans="1:12">
      <x:c r="A591" t="s">
        <x:v>45</x:v>
      </x:c>
      <x:c r="B591" s="6" t="str">
        <x:f>LEFT(G591,SEARCH("]",G591))</x:f>
        <x:v>[9정03-02]</x:v>
      </x:c>
      <x:c r="C591" s="5" t="str">
        <x:f>MID(G591,SEARCH("]",G591)+1,200)</x:f>
        <x:v>문제 해결을 위한 추상화의 중요성을 이해하고,핵심요소를 중심으로 알고리즘을 표현한다.</x:v>
      </x:c>
      <x:c r="G591" s="3" t="s">
        <x:v>92</x:v>
      </x:c>
      <x:c r="K591" s="3"/>
      <x:c r="L591" s="3"/>
    </x:row>
    <x:row r="592" spans="1:12">
      <x:c r="A592" t="s">
        <x:v>45</x:v>
      </x:c>
      <x:c r="B592" s="6" t="str">
        <x:f>LEFT(G592,SEARCH("]",G592))</x:f>
        <x:v>[9정03-03]</x:v>
      </x:c>
      <x:c r="C592" s="5" t="str">
        <x:f>MID(G592,SEARCH("]",G592)+1,200)</x:f>
        <x:v>알고리즘의 중요성을 이해하고,문제를 해결하는 다양한 알고리즘을 비교⋅분석한다.</x:v>
      </x:c>
      <x:c r="G592" s="3" t="s">
        <x:v>2001</x:v>
      </x:c>
      <x:c r="K592" s="3"/>
      <x:c r="L592" s="3"/>
    </x:row>
    <x:row r="593" spans="1:12">
      <x:c r="A593" t="s">
        <x:v>45</x:v>
      </x:c>
      <x:c r="B593" s="6" t="str">
        <x:f>LEFT(G593,SEARCH("]",G593))</x:f>
        <x:v>[9정03-04]</x:v>
      </x:c>
      <x:c r="C593" s="5" t="str">
        <x:f>MID(G593,SEARCH("]",G593)+1,200)</x:f>
        <x:v>사례를 중심으로 문제 해결에 적합한 전략을 선택하여 알고리즘을 설계한다.</x:v>
      </x:c>
      <x:c r="G593" s="3" t="s">
        <x:v>1853</x:v>
      </x:c>
      <x:c r="K593" s="3"/>
      <x:c r="L593" s="3"/>
    </x:row>
    <x:row r="594" spans="1:12">
      <x:c r="A594" t="s">
        <x:v>45</x:v>
      </x:c>
      <x:c r="B594" s="6" t="str">
        <x:f>LEFT(G594,SEARCH("]",G594))</x:f>
        <x:v>[9정03-05]</x:v>
      </x:c>
      <x:c r="C594" s="5" t="str">
        <x:f>MID(G594,SEARCH("]",G594)+1,200)</x:f>
        <x:v>데이터를 순차적으로 저장할 수 있는 구조를 활용하여 문제 해결 프로그램을 작성한다.</x:v>
      </x:c>
      <x:c r="G594" s="3" t="s">
        <x:v>1997</x:v>
      </x:c>
      <x:c r="K594" s="3"/>
      <x:c r="L594" s="3"/>
    </x:row>
    <x:row r="595" spans="1:12">
      <x:c r="A595" t="s">
        <x:v>45</x:v>
      </x:c>
      <x:c r="B595" s="6" t="str">
        <x:f>LEFT(G595,SEARCH("]",G595))</x:f>
        <x:v>[9정03-06]</x:v>
      </x:c>
      <x:c r="C595" s="5" t="str">
        <x:f>MID(G595,SEARCH("]",G595)+1,200)</x:f>
        <x:v>논리 연산과 중첩 제어 구조를 활용하여 문제를 해결하는 프로그램을 작성한다.</x:v>
      </x:c>
      <x:c r="G595" s="3" t="s">
        <x:v>1847</x:v>
      </x:c>
      <x:c r="K595" s="3"/>
      <x:c r="L595" s="3"/>
    </x:row>
    <x:row r="596" spans="1:12">
      <x:c r="A596" t="s">
        <x:v>45</x:v>
      </x:c>
      <x:c r="B596" s="6" t="str">
        <x:f>LEFT(G596,SEARCH("]",G596))</x:f>
        <x:v>[9정03-07]</x:v>
      </x:c>
      <x:c r="C596" s="5" t="str">
        <x:f>MID(G596,SEARCH("]",G596)+1,200)</x:f>
        <x:v>프로그램 작성에서 함수를 활용하고,프로그램 수행 결과를 디버거로 분석하여 오류를수정한다.</x:v>
      </x:c>
      <x:c r="G596" s="3" t="s">
        <x:v>109</x:v>
      </x:c>
      <x:c r="K596" s="3"/>
      <x:c r="L596" s="3"/>
    </x:row>
    <x:row r="597" spans="1:12">
      <x:c r="A597" t="s">
        <x:v>45</x:v>
      </x:c>
      <x:c r="B597" s="6" t="str">
        <x:f>LEFT(G597,SEARCH("]",G597))</x:f>
        <x:v>[9정03-08]</x:v>
      </x:c>
      <x:c r="C597" s="5" t="str">
        <x:f>MID(G597,SEARCH("]",G597)+1,200)</x:f>
        <x:v>실생활의 문제를 탐색하여 발견하고,프로그래밍을 통해 해결한다.</x:v>
      </x:c>
      <x:c r="G597" s="3" t="s">
        <x:v>1981</x:v>
      </x:c>
      <x:c r="K597" s="3"/>
      <x:c r="L597" s="3"/>
    </x:row>
    <x:row r="598" spans="1:12">
      <x:c r="A598" t="s">
        <x:v>45</x:v>
      </x:c>
      <x:c r="B598" s="6" t="str">
        <x:f>LEFT(G598,SEARCH("]",G598))</x:f>
        <x:v>[9정03-09]</x:v>
      </x:c>
      <x:c r="C598" s="5" t="str">
        <x:f>MID(G598,SEARCH("]",G598)+1,200)</x:f>
        <x:v>다양한 학문 분야의 문제 해결을 위해 협력하여 소프트웨어를 개발한다.</x:v>
      </x:c>
      <x:c r="G598" s="3" t="s">
        <x:v>1670</x:v>
      </x:c>
      <x:c r="K598" s="3"/>
      <x:c r="L598" s="3"/>
    </x:row>
    <x:row r="599" spans="1:12">
      <x:c r="A599" t="s">
        <x:v>45</x:v>
      </x:c>
      <x:c r="B599" s="6" t="str">
        <x:f>LEFT(G599,SEARCH("]",G599))</x:f>
        <x:v>[9정04-01]</x:v>
      </x:c>
      <x:c r="C599" s="5" t="str">
        <x:f>MID(G599,SEARCH("]",G599)+1,200)</x:f>
        <x:v>인공지능의 개념과 특성을 설명하고 인공지능 소프트웨어를 구별한다.</x:v>
      </x:c>
      <x:c r="G599" s="3" t="s">
        <x:v>271</x:v>
      </x:c>
      <x:c r="K599" s="3"/>
      <x:c r="L599" s="3"/>
    </x:row>
    <x:row r="600" spans="1:12">
      <x:c r="A600" t="s">
        <x:v>45</x:v>
      </x:c>
      <x:c r="B600" s="6" t="str">
        <x:f>LEFT(G600,SEARCH("]",G600))</x:f>
        <x:v>[9정04-02]</x:v>
      </x:c>
      <x:c r="C600" s="5" t="str">
        <x:f>MID(G600,SEARCH("]",G600)+1,200)</x:f>
        <x:v>인공지능 학습에서 데이터의 중요성을 이해하고,학습에 필요한 데이터를 수집하여 분류한다.</x:v>
      </x:c>
      <x:c r="G600" s="3" t="s">
        <x:v>108</x:v>
      </x:c>
      <x:c r="K600" s="3"/>
      <x:c r="L600" s="3"/>
    </x:row>
    <x:row r="601" spans="1:12">
      <x:c r="A601" t="s">
        <x:v>45</x:v>
      </x:c>
      <x:c r="B601" s="6" t="str">
        <x:f>LEFT(G601,SEARCH("]",G601))</x:f>
        <x:v>[9정04-03]</x:v>
      </x:c>
      <x:c r="C601" s="5" t="str">
        <x:f>MID(G601,SEARCH("]",G601)+1,200)</x:f>
        <x:v>다양한 데이터를 활용하여 인공지능 시스템을 구성하고 적용한다.</x:v>
      </x:c>
      <x:c r="G601" s="3" t="s">
        <x:v>1989</x:v>
      </x:c>
      <x:c r="K601" s="3"/>
      <x:c r="L601" s="3"/>
    </x:row>
    <x:row r="602" spans="1:12" ht="32.75">
      <x:c r="A602" t="s">
        <x:v>45</x:v>
      </x:c>
      <x:c r="B602" s="6" t="str">
        <x:f>LEFT(G602,SEARCH("]",G602))</x:f>
        <x:v>[9정04-04]</x:v>
      </x:c>
      <x:c r="C602" s="5" t="str">
        <x:f>MID(G602,SEARCH("]",G602)+1,200)</x:f>
        <x:v>인공지능 시스템으로 해결 가능한 문제를 발견하고,문제 해결에 적합한 인공지능 시스템을 적용한다.</x:v>
      </x:c>
      <x:c r="G602" s="3" t="s">
        <x:v>1971</x:v>
      </x:c>
      <x:c r="K602" s="3"/>
      <x:c r="L602" s="3"/>
    </x:row>
    <x:row r="603" spans="1:12" ht="32.75">
      <x:c r="A603" t="s">
        <x:v>45</x:v>
      </x:c>
      <x:c r="B603" s="6" t="str">
        <x:f>LEFT(G603,SEARCH("]",G603))</x:f>
        <x:v>[9정04-05]</x:v>
      </x:c>
      <x:c r="C603" s="5" t="str">
        <x:f>MID(G603,SEARCH("]",G603)+1,200)</x:f>
        <x:v>인공지능 학습에 필요한 데이터의 수집과 활용에서 발생하는 윤리적인 문제의 해결 방안을구상한다.</x:v>
      </x:c>
      <x:c r="G603" s="3" t="s">
        <x:v>1973</x:v>
      </x:c>
      <x:c r="K603" s="3"/>
      <x:c r="L603" s="3"/>
    </x:row>
    <x:row r="604" spans="1:12">
      <x:c r="A604" t="s">
        <x:v>45</x:v>
      </x:c>
      <x:c r="B604" s="6" t="str">
        <x:f>LEFT(G604,SEARCH("]",G604))</x:f>
        <x:v>[9정05-01]</x:v>
      </x:c>
      <x:c r="C604" s="5" t="str">
        <x:f>MID(G604,SEARCH("]",G604)+1,200)</x:f>
        <x:v>디지털 사회의 특성을 탐구하고,사회 변화에 따른 직업의 변화를 탐구한다.</x:v>
      </x:c>
      <x:c r="G604" s="3" t="s">
        <x:v>1843</x:v>
      </x:c>
      <x:c r="K604" s="3"/>
      <x:c r="L604" s="3"/>
    </x:row>
    <x:row r="605" spans="1:12" ht="32.75">
      <x:c r="A605" t="s">
        <x:v>45</x:v>
      </x:c>
      <x:c r="B605" s="6" t="str">
        <x:f>LEFT(G605,SEARCH("]",G605))</x:f>
        <x:v>[9정05-02]</x:v>
      </x:c>
      <x:c r="C605" s="5" t="str">
        <x:f>MID(G605,SEARCH("]",G605)+1,200)</x:f>
        <x:v>디지털 사회의 구성원으로서 편리하고 안전한 생활을 위한 규칙에 대해 민주적으로 논의하고 실천 방안을 수립한다.</x:v>
      </x:c>
      <x:c r="G605" s="3" t="s">
        <x:v>1943</x:v>
      </x:c>
      <x:c r="K605" s="3"/>
      <x:c r="L605" s="3"/>
    </x:row>
    <x:row r="606" spans="1:12" ht="32.75">
      <x:c r="A606" t="s">
        <x:v>45</x:v>
      </x:c>
      <x:c r="B606" s="6" t="str">
        <x:f>LEFT(G606,SEARCH("]",G606))</x:f>
        <x:v>[9정05-03]</x:v>
      </x:c>
      <x:c r="C606" s="5" t="str">
        <x:f>MID(G606,SEARCH("]",G606)+1,200)</x:f>
        <x:v>사례를 중심으로 디지털 공간에서 함께 살아가기 위해 개인 정보 및 권리와 저작권을 보호하는 실천 방법을 탐구한다.</x:v>
      </x:c>
      <x:c r="G606" s="3" t="s">
        <x:v>1965</x:v>
      </x:c>
      <x:c r="K606" s="3"/>
      <x:c r="L606" s="3"/>
    </x:row>
    <x:row r="607" spans="1:12">
      <x:c r="A607" t="s">
        <x:v>721</x:v>
      </x:c>
      <x:c r="B607" s="6" t="str">
        <x:f>LEFT(G607,SEARCH("]",G607))</x:f>
        <x:v>[9진로01-01]</x:v>
      </x:c>
      <x:c r="C607" s="5" t="str">
        <x:f>MID(G607,SEARCH("]",G607)+1,200)</x:f>
        <x:v>진로와 직업의 의미를 이해하고 다양한 직업인의 진로 특성과 삶의 모습을 탐색한다.</x:v>
      </x:c>
      <x:c r="G607" s="3" t="s">
        <x:v>2000</x:v>
      </x:c>
      <x:c r="K607" s="3"/>
      <x:c r="L607" s="3"/>
    </x:row>
    <x:row r="608" spans="1:12">
      <x:c r="A608" t="s">
        <x:v>721</x:v>
      </x:c>
      <x:c r="B608" s="6" t="str">
        <x:f>LEFT(G608,SEARCH("]",G608))</x:f>
        <x:v>[9진로01-02]</x:v>
      </x:c>
      <x:c r="C608" s="5" t="str">
        <x:f>MID(G608,SEARCH("]",G608)+1,200)</x:f>
        <x:v>다양한 방법으로 자신의 진로 특성을 파악하고 긍정적 자아 개념을 갖는다.</x:v>
      </x:c>
      <x:c r="G608" s="3" t="s">
        <x:v>1855</x:v>
      </x:c>
      <x:c r="K608" s="3"/>
      <x:c r="L608" s="3"/>
    </x:row>
    <x:row r="609" spans="1:12">
      <x:c r="A609" t="s">
        <x:v>721</x:v>
      </x:c>
      <x:c r="B609" s="6" t="str">
        <x:f>LEFT(G609,SEARCH("]",G609))</x:f>
        <x:v>[9진로01-03]</x:v>
      </x:c>
      <x:c r="C609" s="5" t="str">
        <x:f>MID(G609,SEARCH("]",G609)+1,200)</x:f>
        <x:v>함께 일하고 싶은 직업인의 특성을 알아보고 바람직한 직업인의 자세를 갖는다.</x:v>
      </x:c>
      <x:c r="G609" s="3" t="s">
        <x:v>2006</x:v>
      </x:c>
      <x:c r="K609" s="3"/>
      <x:c r="L609" s="3"/>
    </x:row>
    <x:row r="610" spans="1:12">
      <x:c r="A610" t="s">
        <x:v>721</x:v>
      </x:c>
      <x:c r="B610" s="6" t="str">
        <x:f>LEFT(G610,SEARCH("]",G610))</x:f>
        <x:v>[9진로01-04]</x:v>
      </x:c>
      <x:c r="C610" s="5" t="str">
        <x:f>MID(G610,SEARCH("]",G610)+1,200)</x:f>
        <x:v>일과 여가의 의미와 상호 관계를 이해하고 조화롭고 행복한 삶을 생각한다.</x:v>
      </x:c>
      <x:c r="G610" s="3" t="s">
        <x:v>1851</x:v>
      </x:c>
      <x:c r="K610" s="3"/>
      <x:c r="L610" s="3"/>
    </x:row>
    <x:row r="611" spans="1:12">
      <x:c r="A611" t="s">
        <x:v>721</x:v>
      </x:c>
      <x:c r="B611" s="6" t="str">
        <x:f>LEFT(G611,SEARCH("]",G611))</x:f>
        <x:v>[9진로02-01]</x:v>
      </x:c>
      <x:c r="C611" s="5" t="str">
        <x:f>MID(G611,SEARCH("]",G611)+1,200)</x:f>
        <x:v>사회 변화에 따른 직업 세계의 변화를 이해한다.</x:v>
      </x:c>
      <x:c r="G611" s="3" t="s">
        <x:v>2082</x:v>
      </x:c>
      <x:c r="K611" s="3"/>
      <x:c r="L611" s="3"/>
    </x:row>
    <x:row r="612" spans="1:12">
      <x:c r="A612" t="s">
        <x:v>721</x:v>
      </x:c>
      <x:c r="B612" s="6" t="str">
        <x:f>LEFT(G612,SEARCH("]",G612))</x:f>
        <x:v>[9진로02-02]</x:v>
      </x:c>
      <x:c r="C612" s="5" t="str">
        <x:f>MID(G612,SEARCH("]",G612)+1,200)</x:f>
        <x:v>진로 경로의 다양성과 가변성을 이해하고,유연한 진로 탐색 태도를 함양한다.</x:v>
      </x:c>
      <x:c r="G612" s="3" t="s">
        <x:v>1852</x:v>
      </x:c>
      <x:c r="K612" s="3"/>
      <x:c r="L612" s="3"/>
    </x:row>
    <x:row r="613" spans="1:12">
      <x:c r="A613" t="s">
        <x:v>721</x:v>
      </x:c>
      <x:c r="B613" s="6" t="str">
        <x:f>LEFT(G613,SEARCH("]",G613))</x:f>
        <x:v>[9진로02-03]</x:v>
      </x:c>
      <x:c r="C613" s="5" t="str">
        <x:f>MID(G613,SEARCH("]",G613)+1,200)</x:f>
        <x:v>진로 정보를 탐색하는 다양한 방법을 알아보고 관심 분야의 진로 정보를 탐색하고 활용한다.</x:v>
      </x:c>
      <x:c r="G613" s="3" t="s">
        <x:v>106</x:v>
      </x:c>
      <x:c r="K613" s="3"/>
      <x:c r="L613" s="3"/>
    </x:row>
    <x:row r="614" spans="1:12">
      <x:c r="A614" t="s">
        <x:v>721</x:v>
      </x:c>
      <x:c r="B614" s="6" t="str">
        <x:f>LEFT(G614,SEARCH("]",G614))</x:f>
        <x:v>[9진로02-04]</x:v>
      </x:c>
      <x:c r="C614" s="5" t="str">
        <x:f>MID(G614,SEARCH("]",G614)+1,200)</x:f>
        <x:v>다양한 경험과 진로 활동을 자신의 진로와 연계하며 주도적인 진로 탐색 태도를 함양한다.</x:v>
      </x:c>
      <x:c r="G614" s="3" t="s">
        <x:v>110</x:v>
      </x:c>
      <x:c r="K614" s="3"/>
      <x:c r="L614" s="3"/>
    </x:row>
    <x:row r="615" spans="1:12">
      <x:c r="A615" t="s">
        <x:v>721</x:v>
      </x:c>
      <x:c r="B615" s="6" t="str">
        <x:f>LEFT(G615,SEARCH("]",G615))</x:f>
        <x:v>[9진로02-05]</x:v>
      </x:c>
      <x:c r="C615" s="5" t="str">
        <x:f>MID(G615,SEARCH("]",G615)+1,200)</x:f>
        <x:v>고등학교의 유형,특성,교육과정에 대한 정보를 통해 교육 기회를 탐색한다.</x:v>
      </x:c>
      <x:c r="G615" s="3" t="s">
        <x:v>1844</x:v>
      </x:c>
      <x:c r="K615" s="3"/>
      <x:c r="L615" s="3"/>
    </x:row>
    <x:row r="616" spans="1:12">
      <x:c r="A616" t="s">
        <x:v>721</x:v>
      </x:c>
      <x:c r="B616" s="6" t="str">
        <x:f>LEFT(G616,SEARCH("]",G616))</x:f>
        <x:v>[9진로02-06]</x:v>
      </x:c>
      <x:c r="C616" s="5" t="str">
        <x:f>MID(G616,SEARCH("]",G616)+1,200)</x:f>
        <x:v>창업의 특성과 창업가 정신을 이해하고 그 중요성을 인식한다.</x:v>
      </x:c>
      <x:c r="G616" s="3" t="s">
        <x:v>1994</x:v>
      </x:c>
      <x:c r="K616" s="3"/>
      <x:c r="L616" s="3"/>
    </x:row>
    <x:row r="617" spans="1:12">
      <x:c r="A617" t="s">
        <x:v>721</x:v>
      </x:c>
      <x:c r="B617" s="6" t="str">
        <x:f>LEFT(G617,SEARCH("]",G617))</x:f>
        <x:v>[9진로03-01]</x:v>
      </x:c>
      <x:c r="C617" s="5" t="str">
        <x:f>MID(G617,SEARCH("]",G617)+1,200)</x:f>
        <x:v>진로의사결정의 방법과 고려 사항을 이해하고 진로를 잠정적으로 결정한다.</x:v>
      </x:c>
      <x:c r="G617" s="3" t="s">
        <x:v>1859</x:v>
      </x:c>
      <x:c r="K617" s="3"/>
      <x:c r="L617" s="3"/>
    </x:row>
    <x:row r="618" spans="1:12">
      <x:c r="A618" t="s">
        <x:v>721</x:v>
      </x:c>
      <x:c r="B618" s="6" t="str">
        <x:f>LEFT(G618,SEARCH("]",G618))</x:f>
        <x:v>[9진로03-02]</x:v>
      </x:c>
      <x:c r="C618" s="5" t="str">
        <x:f>MID(G618,SEARCH("]",G618)+1,200)</x:f>
        <x:v>관심 진로 분야의 다양한 진로 경로를 탐색하고 자신의 진로 경로를 설정한다.</x:v>
      </x:c>
      <x:c r="G618" s="3" t="s">
        <x:v>2003</x:v>
      </x:c>
      <x:c r="K618" s="3"/>
      <x:c r="L618" s="3"/>
    </x:row>
    <x:row r="619" spans="1:12" ht="32.75">
      <x:c r="A619" t="s">
        <x:v>721</x:v>
      </x:c>
      <x:c r="B619" s="6" t="str">
        <x:f>LEFT(G619,SEARCH("]",G619))</x:f>
        <x:v>[9진로03-03]</x:v>
      </x:c>
      <x:c r="C619" s="5" t="str">
        <x:f>MID(G619,SEARCH("]",G619)+1,200)</x:f>
        <x:v>진로 목표 성취를 위해 학습의 필요성을 이해하고,학습 계획을 자기 주도적으로 수립하여실천한다.</x:v>
      </x:c>
      <x:c r="G619" s="3" t="s">
        <x:v>1975</x:v>
      </x:c>
      <x:c r="K619" s="3"/>
      <x:c r="L619" s="3"/>
    </x:row>
    <x:row r="620" spans="1:12">
      <x:c r="A620" t="s">
        <x:v>721</x:v>
      </x:c>
      <x:c r="B620" s="6" t="str">
        <x:f>LEFT(G620,SEARCH("]",G620))</x:f>
        <x:v>[9진로03-04]</x:v>
      </x:c>
      <x:c r="C620" s="5" t="str">
        <x:f>MID(G620,SEARCH("]",G620)+1,200)</x:f>
        <x:v>졸업 이후의 진로 계획을 수립하고 자기 관리 및 진로 준비 방법을 알아보고 실천한다.</x:v>
      </x:c>
      <x:c r="G620" s="3" t="s">
        <x:v>111</x:v>
      </x:c>
      <x:c r="K620" s="3"/>
      <x:c r="L620" s="3"/>
    </x:row>
    <x:row r="621" spans="1:12">
      <x:c r="A621" t="s">
        <x:v>38</x:v>
      </x:c>
      <x:c r="B621" s="6" t="str">
        <x:f>LEFT(G621,SEARCH("]",G621))</x:f>
        <x:v>[9체01-01]</x:v>
      </x:c>
      <x:c r="C621" s="5" t="str">
        <x:f>MID(G621,SEARCH("]",G621)+1,200)</x:f>
        <x:v>체력 증진의 의미를 이해하고 원리를 분석한다.</x:v>
      </x:c>
      <x:c r="G621" s="3" t="s">
        <x:v>1773</x:v>
      </x:c>
      <x:c r="K621" s="3"/>
      <x:c r="L621" s="3"/>
    </x:row>
    <x:row r="622" spans="1:12">
      <x:c r="A622" t="s">
        <x:v>38</x:v>
      </x:c>
      <x:c r="B622" s="6" t="str">
        <x:f>LEFT(G622,SEARCH("]",G622))</x:f>
        <x:v>[9체01-02]</x:v>
      </x:c>
      <x:c r="C622" s="5" t="str">
        <x:f>MID(G622,SEARCH("]",G622)+1,200)</x:f>
        <x:v>자신의 체력 수준에 맞는 체력 증진 운동을 실천한다.</x:v>
      </x:c>
      <x:c r="G622" s="3" t="s">
        <x:v>2092</x:v>
      </x:c>
      <x:c r="K622" s="3"/>
      <x:c r="L622" s="3"/>
    </x:row>
    <x:row r="623" spans="1:12">
      <x:c r="A623" t="s">
        <x:v>38</x:v>
      </x:c>
      <x:c r="B623" s="6" t="str">
        <x:f>LEFT(G623,SEARCH("]",G623))</x:f>
        <x:v>[9체01-03]</x:v>
      </x:c>
      <x:c r="C623" s="5" t="str">
        <x:f>MID(G623,SEARCH("]",G623)+1,200)</x:f>
        <x:v>체력 관리의 의미를 이해하고 원리를 분석한다.</x:v>
      </x:c>
      <x:c r="G623" s="3" t="s">
        <x:v>1801</x:v>
      </x:c>
      <x:c r="K623" s="3"/>
      <x:c r="L623" s="3"/>
    </x:row>
    <x:row r="624" spans="1:12">
      <x:c r="A624" t="s">
        <x:v>38</x:v>
      </x:c>
      <x:c r="B624" s="6" t="str">
        <x:f>LEFT(G624,SEARCH("]",G624))</x:f>
        <x:v>[9체01-04]</x:v>
      </x:c>
      <x:c r="C624" s="5" t="str">
        <x:f>MID(G624,SEARCH("]",G624)+1,200)</x:f>
        <x:v>자신의 체력을 진단하고 적합한 체력 관리 방법을 실천한다.</x:v>
      </x:c>
      <x:c r="G624" s="3" t="s">
        <x:v>1977</x:v>
      </x:c>
      <x:c r="K624" s="3"/>
      <x:c r="L624" s="3"/>
    </x:row>
    <x:row r="625" spans="1:12">
      <x:c r="A625" t="s">
        <x:v>38</x:v>
      </x:c>
      <x:c r="B625" s="6" t="str">
        <x:f>LEFT(G625,SEARCH("]",G625))</x:f>
        <x:v>[9체01-05]</x:v>
      </x:c>
      <x:c r="C625" s="5" t="str">
        <x:f>MID(G625,SEARCH("]",G625)+1,200)</x:f>
        <x:v>운동 처방의 의미를 이해하고 원리를 분석한다.</x:v>
      </x:c>
      <x:c r="G625" s="3" t="s">
        <x:v>1797</x:v>
      </x:c>
      <x:c r="K625" s="3"/>
      <x:c r="L625" s="3"/>
    </x:row>
    <x:row r="626" spans="1:12">
      <x:c r="A626" t="s">
        <x:v>38</x:v>
      </x:c>
      <x:c r="B626" s="6" t="str">
        <x:f>LEFT(G626,SEARCH("]",G626))</x:f>
        <x:v>[9체01-06]</x:v>
      </x:c>
      <x:c r="C626" s="5" t="str">
        <x:f>MID(G626,SEARCH("]",G626)+1,200)</x:f>
        <x:v>자신의 신체 조건이나 체력에 맞게 운동 처방 계획을 수립하고 안전하게 실천한다.</x:v>
      </x:c>
      <x:c r="G626" s="3" t="s">
        <x:v>2007</x:v>
      </x:c>
      <x:c r="K626" s="3"/>
      <x:c r="L626" s="3"/>
    </x:row>
    <x:row r="627" spans="1:12">
      <x:c r="A627" t="s">
        <x:v>38</x:v>
      </x:c>
      <x:c r="B627" s="6" t="str">
        <x:f>LEFT(G627,SEARCH("]",G627))</x:f>
        <x:v>[9체01-07]</x:v>
      </x:c>
      <x:c r="C627" s="5" t="str">
        <x:f>MID(G627,SEARCH("]",G627)+1,200)</x:f>
        <x:v>신체 건강의 의미를 이해하고 신체 건강 활동의 종류와 특성을 분석한다.</x:v>
      </x:c>
      <x:c r="G627" s="3" t="s">
        <x:v>1848</x:v>
      </x:c>
      <x:c r="K627" s="3"/>
      <x:c r="L627" s="3"/>
    </x:row>
    <x:row r="628" spans="1:12">
      <x:c r="A628" t="s">
        <x:v>38</x:v>
      </x:c>
      <x:c r="B628" s="6" t="str">
        <x:f>LEFT(G628,SEARCH("]",G628))</x:f>
        <x:v>[9체01-08]</x:v>
      </x:c>
      <x:c r="C628" s="5" t="str">
        <x:f>MID(G628,SEARCH("]",G628)+1,200)</x:f>
        <x:v>자신에게 적합한 신체 건강 활동 방법을 실천한다.</x:v>
      </x:c>
      <x:c r="G628" s="3" t="s">
        <x:v>2093</x:v>
      </x:c>
      <x:c r="K628" s="3"/>
      <x:c r="L628" s="3"/>
    </x:row>
    <x:row r="629" spans="1:12">
      <x:c r="A629" t="s">
        <x:v>38</x:v>
      </x:c>
      <x:c r="B629" s="6" t="str">
        <x:f>LEFT(G629,SEARCH("]",G629))</x:f>
        <x:v>[9체01-09]</x:v>
      </x:c>
      <x:c r="C629" s="5" t="str">
        <x:f>MID(G629,SEARCH("]",G629)+1,200)</x:f>
        <x:v>정신 건강의 의미를 이해하고 정신 건강 활동의 종류와 특성을 분석한다.</x:v>
      </x:c>
      <x:c r="G629" s="3" t="s">
        <x:v>1845</x:v>
      </x:c>
      <x:c r="K629" s="3"/>
      <x:c r="L629" s="3"/>
    </x:row>
    <x:row r="630" spans="1:12">
      <x:c r="A630" t="s">
        <x:v>38</x:v>
      </x:c>
      <x:c r="B630" s="6" t="str">
        <x:f>LEFT(G630,SEARCH("]",G630))</x:f>
        <x:v>[9체01-10]</x:v>
      </x:c>
      <x:c r="C630" s="5" t="str">
        <x:f>MID(G630,SEARCH("]",G630)+1,200)</x:f>
        <x:v>자신에게 적합한 정신 건강 활동 방법을 실천한다.</x:v>
      </x:c>
      <x:c r="G630" s="3" t="s">
        <x:v>2084</x:v>
      </x:c>
      <x:c r="K630" s="3"/>
      <x:c r="L630" s="3"/>
    </x:row>
    <x:row r="631" spans="1:12">
      <x:c r="A631" t="s">
        <x:v>38</x:v>
      </x:c>
      <x:c r="B631" s="6" t="str">
        <x:f>LEFT(G631,SEARCH("]",G631))</x:f>
        <x:v>[9체01-11]</x:v>
      </x:c>
      <x:c r="C631" s="5" t="str">
        <x:f>MID(G631,SEARCH("]",G631)+1,200)</x:f>
        <x:v>사회적 건강의 의미를 이해하고 사회적 건강을 위한 활동의 종류와 특성을 분석한다.</x:v>
      </x:c>
      <x:c r="G631" s="3" t="s">
        <x:v>2002</x:v>
      </x:c>
      <x:c r="K631" s="3"/>
      <x:c r="L631" s="3"/>
    </x:row>
    <x:row r="632" spans="1:12">
      <x:c r="A632" t="s">
        <x:v>38</x:v>
      </x:c>
      <x:c r="B632" s="6" t="str">
        <x:f>LEFT(G632,SEARCH("]",G632))</x:f>
        <x:v>[9체01-12]</x:v>
      </x:c>
      <x:c r="C632" s="5" t="str">
        <x:f>MID(G632,SEARCH("]",G632)+1,200)</x:f>
        <x:v>사회적으로 적합한 건강 활동 방법을 실천한다.</x:v>
      </x:c>
      <x:c r="G632" s="3" t="s">
        <x:v>1799</x:v>
      </x:c>
      <x:c r="K632" s="3"/>
      <x:c r="L632" s="3"/>
    </x:row>
    <x:row r="633" spans="1:12">
      <x:c r="A633" t="s">
        <x:v>38</x:v>
      </x:c>
      <x:c r="B633" s="6" t="str">
        <x:f>LEFT(G633,SEARCH("]",G633))</x:f>
        <x:v>[9체01-13]</x:v>
      </x:c>
      <x:c r="C633" s="5" t="str">
        <x:f>MID(G633,SEARCH("]",G633)+1,200)</x:f>
        <x:v>체력 운동을 하며 실천 의지와 인내심을 보이고 자기 주도적으로 문제를 해결한다.</x:v>
      </x:c>
      <x:c r="G633" s="3" t="s">
        <x:v>2008</x:v>
      </x:c>
      <x:c r="K633" s="3"/>
      <x:c r="L633" s="3"/>
    </x:row>
    <x:row r="634" spans="1:12">
      <x:c r="A634" t="s">
        <x:v>38</x:v>
      </x:c>
      <x:c r="B634" s="6" t="str">
        <x:f>LEFT(G634,SEARCH("]",G634))</x:f>
        <x:v>[9체01-14]</x:v>
      </x:c>
      <x:c r="C634" s="5" t="str">
        <x:f>MID(G634,SEARCH("]",G634)+1,200)</x:f>
        <x:v>건강 활동을 자율적으로 실천하며 자신과 공동체에 대한 안전을 추구한다.</x:v>
      </x:c>
      <x:c r="G634" s="3" t="s">
        <x:v>1858</x:v>
      </x:c>
      <x:c r="K634" s="3"/>
      <x:c r="L634" s="3"/>
    </x:row>
    <x:row r="635" spans="1:12">
      <x:c r="A635" t="s">
        <x:v>38</x:v>
      </x:c>
      <x:c r="B635" s="6" t="str">
        <x:f>LEFT(G635,SEARCH("]",G635))</x:f>
        <x:v>[9체02-01]</x:v>
      </x:c>
      <x:c r="C635" s="5" t="str">
        <x:f>MID(G635,SEARCH("]",G635)+1,200)</x:f>
        <x:v>동작형 스포츠의 역사와 특성을 탐색하고 비교한다.</x:v>
      </x:c>
      <x:c r="G635" s="3" t="s">
        <x:v>2089</x:v>
      </x:c>
      <x:c r="K635" s="3"/>
      <x:c r="L635" s="3"/>
    </x:row>
    <x:row r="636" spans="1:12">
      <x:c r="A636" t="s">
        <x:v>38</x:v>
      </x:c>
      <x:c r="B636" s="6" t="str">
        <x:f>LEFT(G636,SEARCH("]",G636))</x:f>
        <x:v>[9체02-02]</x:v>
      </x:c>
      <x:c r="C636" s="5" t="str">
        <x:f>MID(G636,SEARCH("]",G636)+1,200)</x:f>
        <x:v>동작형 스포츠의 수행 원리를 적용하여 경기 기능을 수련하고 향상한다.</x:v>
      </x:c>
      <x:c r="G636" s="3" t="s">
        <x:v>268</x:v>
      </x:c>
      <x:c r="K636" s="3"/>
      <x:c r="L636" s="3"/>
    </x:row>
    <x:row r="637" spans="1:12">
      <x:c r="A637" t="s">
        <x:v>38</x:v>
      </x:c>
      <x:c r="B637" s="6" t="str">
        <x:f>LEFT(G637,SEARCH("]",G637))</x:f>
        <x:v>[9체02-03]</x:v>
      </x:c>
      <x:c r="C637" s="5" t="str">
        <x:f>MID(G637,SEARCH("]",G637)+1,200)</x:f>
        <x:v>동작형 스포츠의 경기 방법을 이해하고 경기 전략을 상황에 맞게 활용하며 안전하게 경기한다.</x:v>
      </x:c>
      <x:c r="G637" s="3" t="s">
        <x:v>93</x:v>
      </x:c>
      <x:c r="K637" s="3"/>
      <x:c r="L637" s="3"/>
    </x:row>
    <x:row r="638" spans="1:12">
      <x:c r="A638" t="s">
        <x:v>38</x:v>
      </x:c>
      <x:c r="B638" s="6" t="str">
        <x:f>LEFT(G638,SEARCH("]",G638))</x:f>
        <x:v>[9체02-04]</x:v>
      </x:c>
      <x:c r="C638" s="5" t="str">
        <x:f>MID(G638,SEARCH("]",G638)+1,200)</x:f>
        <x:v>기록형 스포츠의 역사와 특성을 탐색하고 비교한다.</x:v>
      </x:c>
      <x:c r="G638" s="3" t="s">
        <x:v>2081</x:v>
      </x:c>
      <x:c r="K638" s="3"/>
      <x:c r="L638" s="3"/>
    </x:row>
    <x:row r="639" spans="1:12">
      <x:c r="A639" t="s">
        <x:v>38</x:v>
      </x:c>
      <x:c r="B639" s="6" t="str">
        <x:f>LEFT(G639,SEARCH("]",G639))</x:f>
        <x:v>[9체02-05]</x:v>
      </x:c>
      <x:c r="C639" s="5" t="str">
        <x:f>MID(G639,SEARCH("]",G639)+1,200)</x:f>
        <x:v>기록형 스포츠의 수행 원리를 적용하여 경기 기능을 수련하고 향상한다.</x:v>
      </x:c>
      <x:c r="G639" s="3" t="s">
        <x:v>262</x:v>
      </x:c>
      <x:c r="K639" s="3"/>
      <x:c r="L639" s="3"/>
    </x:row>
    <x:row r="640" spans="1:12">
      <x:c r="A640" t="s">
        <x:v>38</x:v>
      </x:c>
      <x:c r="B640" s="6" t="str">
        <x:f>LEFT(G640,SEARCH("]",G640))</x:f>
        <x:v>[9체02-06]</x:v>
      </x:c>
      <x:c r="C640" s="5" t="str">
        <x:f>MID(G640,SEARCH("]",G640)+1,200)</x:f>
        <x:v>기록형 스포츠의 경기 방법을 이해하고 경기 전략을 상황에 맞게 활용하며 안전하게 경기한다.</x:v>
      </x:c>
      <x:c r="G640" s="3" t="s">
        <x:v>94</x:v>
      </x:c>
      <x:c r="K640" s="3"/>
      <x:c r="L640" s="3"/>
    </x:row>
    <x:row r="641" spans="1:12">
      <x:c r="A641" t="s">
        <x:v>38</x:v>
      </x:c>
      <x:c r="B641" s="6" t="str">
        <x:f>LEFT(G641,SEARCH("]",G641))</x:f>
        <x:v>[9체02-07]</x:v>
      </x:c>
      <x:c r="C641" s="5" t="str">
        <x:f>MID(G641,SEARCH("]",G641)+1,200)</x:f>
        <x:v>투기형 스포츠의 역사와 특성을 탐색하고 비교한다.</x:v>
      </x:c>
      <x:c r="G641" s="3" t="s">
        <x:v>2090</x:v>
      </x:c>
      <x:c r="K641" s="3"/>
      <x:c r="L641" s="3"/>
    </x:row>
    <x:row r="642" spans="1:12">
      <x:c r="A642" t="s">
        <x:v>38</x:v>
      </x:c>
      <x:c r="B642" s="6" t="str">
        <x:f>LEFT(G642,SEARCH("]",G642))</x:f>
        <x:v>[9체02-08]</x:v>
      </x:c>
      <x:c r="C642" s="5" t="str">
        <x:f>MID(G642,SEARCH("]",G642)+1,200)</x:f>
        <x:v>투기형 스포츠의 수행 원리를 적용하여 경기 기능을 수련하고 향상한다.</x:v>
      </x:c>
      <x:c r="G642" s="3" t="s">
        <x:v>267</x:v>
      </x:c>
      <x:c r="K642" s="3"/>
      <x:c r="L642" s="3"/>
    </x:row>
    <x:row r="643" spans="1:12">
      <x:c r="A643" t="s">
        <x:v>38</x:v>
      </x:c>
      <x:c r="B643" s="6" t="str">
        <x:f>LEFT(G643,SEARCH("]",G643))</x:f>
        <x:v>[9체02-09]</x:v>
      </x:c>
      <x:c r="C643" s="5" t="str">
        <x:f>MID(G643,SEARCH("]",G643)+1,200)</x:f>
        <x:v>투기형 스포츠의 경기 방법을 이해하고 경기 전략을 상황에 맞게 활용하며 안전하게 경기한다.</x:v>
      </x:c>
      <x:c r="G643" s="3" t="s">
        <x:v>188</x:v>
      </x:c>
      <x:c r="K643" s="3"/>
      <x:c r="L643" s="3"/>
    </x:row>
    <x:row r="644" spans="1:12">
      <x:c r="A644" t="s">
        <x:v>38</x:v>
      </x:c>
      <x:c r="B644" s="6" t="str">
        <x:f>LEFT(G644,SEARCH("]",G644))</x:f>
        <x:v>[9체02-10]</x:v>
      </x:c>
      <x:c r="C644" s="5" t="str">
        <x:f>MID(G644,SEARCH("]",G644)+1,200)</x:f>
        <x:v>영역형 스포츠의 역사와 특성을 탐색하고 비교한다.</x:v>
      </x:c>
      <x:c r="G644" s="3" t="s">
        <x:v>2087</x:v>
      </x:c>
      <x:c r="K644" s="3"/>
      <x:c r="L644" s="3"/>
    </x:row>
    <x:row r="645" spans="1:12">
      <x:c r="A645" t="s">
        <x:v>38</x:v>
      </x:c>
      <x:c r="B645" s="6" t="str">
        <x:f>LEFT(G645,SEARCH("]",G645))</x:f>
        <x:v>[9체02-11]</x:v>
      </x:c>
      <x:c r="C645" s="5" t="str">
        <x:f>MID(G645,SEARCH("]",G645)+1,200)</x:f>
        <x:v>영역형 스포츠의 수행 원리를 적용하여 경기 기능을 수행하고 향상한다.</x:v>
      </x:c>
      <x:c r="G645" s="3" t="s">
        <x:v>270</x:v>
      </x:c>
      <x:c r="K645" s="3"/>
      <x:c r="L645" s="3"/>
    </x:row>
    <x:row r="646" spans="1:12">
      <x:c r="A646" t="s">
        <x:v>38</x:v>
      </x:c>
      <x:c r="B646" s="6" t="str">
        <x:f>LEFT(G646,SEARCH("]",G646))</x:f>
        <x:v>[9체02-12]</x:v>
      </x:c>
      <x:c r="C646" s="5" t="str">
        <x:f>MID(G646,SEARCH("]",G646)+1,200)</x:f>
        <x:v>영역형 스포츠의 경기 방법을 이해하고 경기 전략을 활용하며 안전하게 경기한다.</x:v>
      </x:c>
      <x:c r="G646" s="3" t="s">
        <x:v>2004</x:v>
      </x:c>
      <x:c r="K646" s="3"/>
      <x:c r="L646" s="3"/>
    </x:row>
    <x:row r="647" spans="1:12">
      <x:c r="A647" t="s">
        <x:v>38</x:v>
      </x:c>
      <x:c r="B647" s="6" t="str">
        <x:f>LEFT(G647,SEARCH("]",G647))</x:f>
        <x:v>[9체02-13]</x:v>
      </x:c>
      <x:c r="C647" s="5" t="str">
        <x:f>MID(G647,SEARCH("]",G647)+1,200)</x:f>
        <x:v>필드형 스포츠의 역사와 특성을 탐색하고 비교한다.</x:v>
      </x:c>
      <x:c r="G647" s="3" t="s">
        <x:v>2083</x:v>
      </x:c>
      <x:c r="K647" s="3"/>
      <x:c r="L647" s="3"/>
    </x:row>
    <x:row r="648" spans="1:12">
      <x:c r="A648" t="s">
        <x:v>38</x:v>
      </x:c>
      <x:c r="B648" s="6" t="str">
        <x:f>LEFT(G648,SEARCH("]",G648))</x:f>
        <x:v>[9체02-14]</x:v>
      </x:c>
      <x:c r="C648" s="5" t="str">
        <x:f>MID(G648,SEARCH("]",G648)+1,200)</x:f>
        <x:v>필드형 스포츠의 수행 원리를 적용하여 경기 기능을 수행하고 향상한다.</x:v>
      </x:c>
      <x:c r="G648" s="3" t="s">
        <x:v>269</x:v>
      </x:c>
      <x:c r="K648" s="3"/>
      <x:c r="L648" s="3"/>
    </x:row>
    <x:row r="649" spans="1:12">
      <x:c r="A649" t="s">
        <x:v>38</x:v>
      </x:c>
      <x:c r="B649" s="6" t="str">
        <x:f>LEFT(G649,SEARCH("]",G649))</x:f>
        <x:v>[9체02-15]</x:v>
      </x:c>
      <x:c r="C649" s="5" t="str">
        <x:f>MID(G649,SEARCH("]",G649)+1,200)</x:f>
        <x:v>필드형 스포츠의 경기 방법을 이해하고 경기 전략을 활용하며 안전하게 경기한다.</x:v>
      </x:c>
      <x:c r="G649" s="3" t="s">
        <x:v>2005</x:v>
      </x:c>
      <x:c r="K649" s="3"/>
      <x:c r="L649" s="3"/>
    </x:row>
    <x:row r="650" spans="1:12">
      <x:c r="A650" t="s">
        <x:v>38</x:v>
      </x:c>
      <x:c r="B650" s="6" t="str">
        <x:f>LEFT(G650,SEARCH("]",G650))</x:f>
        <x:v>[9체02-16]</x:v>
      </x:c>
      <x:c r="C650" s="5" t="str">
        <x:f>MID(G650,SEARCH("]",G650)+1,200)</x:f>
        <x:v>네트형 스포츠의 역사와 특성을 탐색하고 비교한다.</x:v>
      </x:c>
      <x:c r="G650" s="3" t="s">
        <x:v>2088</x:v>
      </x:c>
      <x:c r="K650" s="3"/>
      <x:c r="L650" s="3"/>
    </x:row>
    <x:row r="651" spans="1:12">
      <x:c r="A651" t="s">
        <x:v>38</x:v>
      </x:c>
      <x:c r="B651" s="6" t="str">
        <x:f>LEFT(G651,SEARCH("]",G651))</x:f>
        <x:v>[9체02-17]</x:v>
      </x:c>
      <x:c r="C651" s="5" t="str">
        <x:f>MID(G651,SEARCH("]",G651)+1,200)</x:f>
        <x:v>네트형 스포츠의 수행 원리를 적용하여 경기 기능을 수행하고 향상한다.</x:v>
      </x:c>
      <x:c r="G651" s="3" t="s">
        <x:v>263</x:v>
      </x:c>
      <x:c r="K651" s="3"/>
      <x:c r="L651" s="3"/>
    </x:row>
    <x:row r="652" spans="1:12">
      <x:c r="A652" t="s">
        <x:v>38</x:v>
      </x:c>
      <x:c r="B652" s="6" t="str">
        <x:f>LEFT(G652,SEARCH("]",G652))</x:f>
        <x:v>[9체02-18]</x:v>
      </x:c>
      <x:c r="C652" s="5" t="str">
        <x:f>MID(G652,SEARCH("]",G652)+1,200)</x:f>
        <x:v>네트형 스포츠의 경기 방법을 이해하고 경기 전략을 활용하며 안전하게 경기한다.</x:v>
      </x:c>
      <x:c r="G652" s="3" t="s">
        <x:v>2079</x:v>
      </x:c>
      <x:c r="K652" s="3"/>
      <x:c r="L652" s="3"/>
    </x:row>
    <x:row r="653" spans="1:12">
      <x:c r="A653" t="s">
        <x:v>38</x:v>
      </x:c>
      <x:c r="B653" s="6" t="str">
        <x:f>LEFT(G653,SEARCH("]",G653))</x:f>
        <x:v>[9체02-19]</x:v>
      </x:c>
      <x:c r="C653" s="5" t="str">
        <x:f>MID(G653,SEARCH("]",G653)+1,200)</x:f>
        <x:v>생활환경형 스포츠의 역사와 특성을 탐색하고 비교한다.</x:v>
      </x:c>
      <x:c r="G653" s="3" t="s">
        <x:v>2085</x:v>
      </x:c>
      <x:c r="K653" s="3"/>
      <x:c r="L653" s="3"/>
    </x:row>
    <x:row r="654" spans="1:12">
      <x:c r="A654" t="s">
        <x:v>38</x:v>
      </x:c>
      <x:c r="B654" s="6" t="str">
        <x:f>LEFT(G654,SEARCH("]",G654))</x:f>
        <x:v>[9체02-20]</x:v>
      </x:c>
      <x:c r="C654" s="5" t="str">
        <x:f>MID(G654,SEARCH("]",G654)+1,200)</x:f>
        <x:v>생활환경형 스포츠의 수행 원리를 적용하여 기능을 수행하고 향상한다.</x:v>
      </x:c>
      <x:c r="G654" s="3" t="s">
        <x:v>265</x:v>
      </x:c>
      <x:c r="K654" s="3"/>
      <x:c r="L654" s="3"/>
    </x:row>
    <x:row r="655" spans="1:12">
      <x:c r="A655" t="s">
        <x:v>38</x:v>
      </x:c>
      <x:c r="B655" s="6" t="str">
        <x:f>LEFT(G655,SEARCH("]",G655))</x:f>
        <x:v>[9체02-21]</x:v>
      </x:c>
      <x:c r="C655" s="5" t="str">
        <x:f>MID(G655,SEARCH("]",G655)+1,200)</x:f>
        <x:v>생활환경형 스포츠의 활동 방법을 이해하고 활동 전략을 활용하며 안전하게 경기한다.</x:v>
      </x:c>
      <x:c r="G655" s="3" t="s">
        <x:v>2102</x:v>
      </x:c>
      <x:c r="K655" s="3"/>
      <x:c r="L655" s="3"/>
    </x:row>
    <x:row r="656" spans="1:12">
      <x:c r="A656" t="s">
        <x:v>38</x:v>
      </x:c>
      <x:c r="B656" s="6" t="str">
        <x:f>LEFT(G656,SEARCH("]",G656))</x:f>
        <x:v>[9체02-22]</x:v>
      </x:c>
      <x:c r="C656" s="5" t="str">
        <x:f>MID(G656,SEARCH("]",G656)+1,200)</x:f>
        <x:v>자연환경형 스포츠의 역사와 특성을 탐색하고 비교한다.</x:v>
      </x:c>
      <x:c r="G656" s="3" t="s">
        <x:v>2086</x:v>
      </x:c>
      <x:c r="K656" s="3"/>
      <x:c r="L656" s="3"/>
    </x:row>
    <x:row r="657" spans="1:12">
      <x:c r="A657" t="s">
        <x:v>38</x:v>
      </x:c>
      <x:c r="B657" s="6" t="str">
        <x:f>LEFT(G657,SEARCH("]",G657))</x:f>
        <x:v>[9체02-23]</x:v>
      </x:c>
      <x:c r="C657" s="5" t="str">
        <x:f>MID(G657,SEARCH("]",G657)+1,200)</x:f>
        <x:v>자연환경형 스포츠의 수행 원리를 적용하여 기능을 수행하고 향상한다.</x:v>
      </x:c>
      <x:c r="G657" s="3" t="s">
        <x:v>264</x:v>
      </x:c>
      <x:c r="K657" s="3"/>
      <x:c r="L657" s="3"/>
    </x:row>
    <x:row r="658" spans="1:12">
      <x:c r="A658" t="s">
        <x:v>38</x:v>
      </x:c>
      <x:c r="B658" s="6" t="str">
        <x:f>LEFT(G658,SEARCH("]",G658))</x:f>
        <x:v>[9체02-24]</x:v>
      </x:c>
      <x:c r="C658" s="5" t="str">
        <x:f>MID(G658,SEARCH("]",G658)+1,200)</x:f>
        <x:v>자연환경형 스포츠의 활동 방법을 이해하고 활동 전략을 활용하며 안전하게 경기한다.</x:v>
      </x:c>
      <x:c r="G658" s="3" t="s">
        <x:v>2100</x:v>
      </x:c>
      <x:c r="K658" s="3"/>
      <x:c r="L658" s="3"/>
    </x:row>
    <x:row r="659" spans="1:12">
      <x:c r="A659" t="s">
        <x:v>38</x:v>
      </x:c>
      <x:c r="B659" s="6" t="str">
        <x:f>LEFT(G659,SEARCH("]",G659))</x:f>
        <x:v>[9체02-25]</x:v>
      </x:c>
      <x:c r="C659" s="5" t="str">
        <x:f>MID(G659,SEARCH("]",G659)+1,200)</x:f>
        <x:v>스포츠의 연습과 경기 과정에서 인내심을 발휘하여 적극적으로 도전한다.</x:v>
      </x:c>
      <x:c r="G659" s="3" t="s">
        <x:v>266</x:v>
      </x:c>
      <x:c r="K659" s="3"/>
      <x:c r="L659" s="3"/>
    </x:row>
    <x:row r="660" spans="1:12" ht="32.75">
      <x:c r="A660" t="s">
        <x:v>38</x:v>
      </x:c>
      <x:c r="B660" s="6" t="str">
        <x:f>LEFT(G660,SEARCH("]",G660))</x:f>
        <x:v>[9체02-26]</x:v>
      </x:c>
      <x:c r="C660" s="5" t="str">
        <x:f>MID(G660,SEARCH("]",G660)+1,200)</x:f>
        <x:v>스포츠의 연습과 경기 과정에서 구성원 간에 서로 신뢰하며 팀 목표를 달성하기 위해 노력하고 경기 예절을 갖추며 정정당당하게 참여한다.</x:v>
      </x:c>
      <x:c r="G660" s="3" t="s">
        <x:v>1621</x:v>
      </x:c>
      <x:c r="K660" s="3"/>
      <x:c r="L660" s="3"/>
    </x:row>
    <x:row r="661" spans="1:12" ht="32.75">
      <x:c r="A661" t="s">
        <x:v>38</x:v>
      </x:c>
      <x:c r="B661" s="6" t="str">
        <x:f>LEFT(G661,SEARCH("]",G661))</x:f>
        <x:v>[9체02-27]</x:v>
      </x:c>
      <x:c r="C661" s="5" t="str">
        <x:f>MID(G661,SEARCH("]",G661)+1,200)</x:f>
        <x:v>스포츠 환경에 대한 친화적 태도와 지속가능한 스포츠 환경을 만들기 위한 공동체 의식을발휘한다.</x:v>
      </x:c>
      <x:c r="G661" s="3" t="s">
        <x:v>1972</x:v>
      </x:c>
      <x:c r="K661" s="3"/>
      <x:c r="L661" s="3"/>
    </x:row>
    <x:row r="662" spans="1:12">
      <x:c r="A662" t="s">
        <x:v>38</x:v>
      </x:c>
      <x:c r="B662" s="6" t="str">
        <x:f>LEFT(G662,SEARCH("]",G662))</x:f>
        <x:v>[9체03-01]</x:v>
      </x:c>
      <x:c r="C662" s="5" t="str">
        <x:f>MID(G662,SEARCH("]",G662)+1,200)</x:f>
        <x:v>스포츠 표현의 역사와 특성을 탐색하고 비교한다.</x:v>
      </x:c>
      <x:c r="G662" s="3" t="s">
        <x:v>1802</x:v>
      </x:c>
      <x:c r="K662" s="3"/>
      <x:c r="L662" s="3"/>
    </x:row>
    <x:row r="663" spans="1:12">
      <x:c r="A663" t="s">
        <x:v>38</x:v>
      </x:c>
      <x:c r="B663" s="6" t="str">
        <x:f>LEFT(G663,SEARCH("]",G663))</x:f>
        <x:v>[9체03-02]</x:v>
      </x:c>
      <x:c r="C663" s="5" t="str">
        <x:f>MID(G663,SEARCH("]",G663)+1,200)</x:f>
        <x:v>스포츠 표현의 원리를 적용하여 동작을 심미적으로 표현한다.</x:v>
      </x:c>
      <x:c r="G663" s="3" t="s">
        <x:v>1979</x:v>
      </x:c>
      <x:c r="K663" s="3"/>
      <x:c r="L663" s="3"/>
    </x:row>
    <x:row r="664" spans="1:12">
      <x:c r="A664" t="s">
        <x:v>38</x:v>
      </x:c>
      <x:c r="B664" s="6" t="str">
        <x:f>LEFT(G664,SEARCH("]",G664))</x:f>
        <x:v>[9체03-03]</x:v>
      </x:c>
      <x:c r="C664" s="5" t="str">
        <x:f>MID(G664,SEARCH("]",G664)+1,200)</x:f>
        <x:v>스포츠 표현의 특성과 원리를 반영한 작품을 창작하고 표현 요소를 고려하여 감상한다.</x:v>
      </x:c>
      <x:c r="G664" s="3" t="s">
        <x:v>2104</x:v>
      </x:c>
      <x:c r="K664" s="3"/>
      <x:c r="L664" s="3"/>
    </x:row>
    <x:row r="665" spans="1:12">
      <x:c r="A665" t="s">
        <x:v>38</x:v>
      </x:c>
      <x:c r="B665" s="6" t="str">
        <x:f>LEFT(G665,SEARCH("]",G665))</x:f>
        <x:v>[9체03-04]</x:v>
      </x:c>
      <x:c r="C665" s="5" t="str">
        <x:f>MID(G665,SEARCH("]",G665)+1,200)</x:f>
        <x:v>전통 표현의 역사와 특성을 탐색하고 비교한다.</x:v>
      </x:c>
      <x:c r="G665" s="3" t="s">
        <x:v>1798</x:v>
      </x:c>
      <x:c r="K665" s="3"/>
      <x:c r="L665" s="3"/>
    </x:row>
    <x:row r="666" spans="1:12">
      <x:c r="A666" t="s">
        <x:v>38</x:v>
      </x:c>
      <x:c r="B666" s="6" t="str">
        <x:f>LEFT(G666,SEARCH("]",G666))</x:f>
        <x:v>[9체03-05]</x:v>
      </x:c>
      <x:c r="C666" s="5" t="str">
        <x:f>MID(G666,SEARCH("]",G666)+1,200)</x:f>
        <x:v>전통 표현의 원리를 적용하여 동작을 심미적으로 표현한다.</x:v>
      </x:c>
      <x:c r="G666" s="3" t="s">
        <x:v>1985</x:v>
      </x:c>
      <x:c r="K666" s="3"/>
      <x:c r="L666" s="3"/>
    </x:row>
    <x:row r="667" spans="1:12">
      <x:c r="A667" t="s">
        <x:v>38</x:v>
      </x:c>
      <x:c r="B667" s="6" t="str">
        <x:f>LEFT(G667,SEARCH("]",G667))</x:f>
        <x:v>[9체03-06]</x:v>
      </x:c>
      <x:c r="C667" s="5" t="str">
        <x:f>MID(G667,SEARCH("]",G667)+1,200)</x:f>
        <x:v>전통 표현의 특성과 원리를 반영한 작품을 창작하고 표현 요소를 고려하여 감상한다.</x:v>
      </x:c>
      <x:c r="G667" s="3" t="s">
        <x:v>2101</x:v>
      </x:c>
      <x:c r="K667" s="3"/>
      <x:c r="L667" s="3"/>
    </x:row>
    <x:row r="668" spans="1:12">
      <x:c r="A668" t="s">
        <x:v>38</x:v>
      </x:c>
      <x:c r="B668" s="6" t="str">
        <x:f>LEFT(G668,SEARCH("]",G668))</x:f>
        <x:v>[9체03-07]</x:v>
      </x:c>
      <x:c r="C668" s="5" t="str">
        <x:f>MID(G668,SEARCH("]",G668)+1,200)</x:f>
        <x:v>현대 표현의 역사와 특성을 탐색하고 비교한다.</x:v>
      </x:c>
      <x:c r="G668" s="3" t="s">
        <x:v>1800</x:v>
      </x:c>
      <x:c r="K668" s="3"/>
      <x:c r="L668" s="3"/>
    </x:row>
    <x:row r="669" spans="1:12">
      <x:c r="A669" t="s">
        <x:v>38</x:v>
      </x:c>
      <x:c r="B669" s="6" t="str">
        <x:f>LEFT(G669,SEARCH("]",G669))</x:f>
        <x:v>[9체03-08]</x:v>
      </x:c>
      <x:c r="C669" s="5" t="str">
        <x:f>MID(G669,SEARCH("]",G669)+1,200)</x:f>
        <x:v>현대 표현의 원리를 적용하여 동작을 심미적으로 표현한다.</x:v>
      </x:c>
      <x:c r="G669" s="3" t="s">
        <x:v>1978</x:v>
      </x:c>
      <x:c r="K669" s="3"/>
      <x:c r="L669" s="3"/>
    </x:row>
    <x:row r="670" spans="1:12">
      <x:c r="A670" t="s">
        <x:v>38</x:v>
      </x:c>
      <x:c r="B670" s="6" t="str">
        <x:f>LEFT(G670,SEARCH("]",G670))</x:f>
        <x:v>[9체03-09]</x:v>
      </x:c>
      <x:c r="C670" s="5" t="str">
        <x:f>MID(G670,SEARCH("]",G670)+1,200)</x:f>
        <x:v>현대 표현의 특성과 원리를 반영한 작품을 창작하고 표현 요소를 고려하여 감상한다.</x:v>
      </x:c>
      <x:c r="G670" s="3" t="s">
        <x:v>2099</x:v>
      </x:c>
      <x:c r="K670" s="3"/>
      <x:c r="L670" s="3"/>
    </x:row>
    <x:row r="671" spans="1:12" ht="32.75">
      <x:c r="A671" t="s">
        <x:v>38</x:v>
      </x:c>
      <x:c r="B671" s="6" t="str">
        <x:f>LEFT(G671,SEARCH("]",G671))</x:f>
        <x:v>[9체03-10]</x:v>
      </x:c>
      <x:c r="C671" s="5" t="str">
        <x:f>MID(G671,SEARCH("]",G671)+1,200)</x:f>
        <x:v>움직임을 표현하고 창작하는 과정에서 독창적이고 개방적인 태도를 갖고 표현 활동 작품을공감하고 비평한다.</x:v>
      </x:c>
      <x:c r="G671" s="3" t="s">
        <x:v>551</x:v>
      </x:c>
      <x:c r="K671" s="3"/>
      <x:c r="L671" s="3"/>
    </x:row>
    <x:row r="672" spans="1:12">
      <x:c r="A672" t="s">
        <x:v>42</x:v>
      </x:c>
      <x:c r="B672" s="6" t="str">
        <x:f>LEFT(G672,SEARCH("]",G672))</x:f>
        <x:v>[9한01-01]</x:v>
      </x:c>
      <x:c r="C672" s="5" t="str">
        <x:f>MID(G672,SEARCH("]",G672)+1,200)</x:f>
        <x:v>한자의 모양⋅음⋅뜻을 구별한다.</x:v>
      </x:c>
      <x:c r="G672" s="3" t="s">
        <x:v>1714</x:v>
      </x:c>
      <x:c r="K672" s="3"/>
      <x:c r="L672" s="3"/>
    </x:row>
    <x:row r="673" spans="1:12">
      <x:c r="A673" t="s">
        <x:v>42</x:v>
      </x:c>
      <x:c r="B673" s="6" t="str">
        <x:f>LEFT(G673,SEARCH("]",G673))</x:f>
        <x:v>[9한01-02]</x:v>
      </x:c>
      <x:c r="C673" s="5" t="str">
        <x:f>MID(G673,SEARCH("]",G673)+1,200)</x:f>
        <x:v>한자가 만들어진 원리를 구별한다.</x:v>
      </x:c>
      <x:c r="G673" s="3" t="s">
        <x:v>1710</x:v>
      </x:c>
      <x:c r="K673" s="3"/>
      <x:c r="L673" s="3"/>
    </x:row>
    <x:row r="674" spans="1:12">
      <x:c r="A674" t="s">
        <x:v>42</x:v>
      </x:c>
      <x:c r="B674" s="6" t="str">
        <x:f>LEFT(G674,SEARCH("]",G674))</x:f>
        <x:v>[9한01-03]</x:v>
      </x:c>
      <x:c r="C674" s="5" t="str">
        <x:f>MID(G674,SEARCH("]",G674)+1,200)</x:f>
        <x:v>단어의 짜임을 구별한다.</x:v>
      </x:c>
      <x:c r="G674" s="3" t="s">
        <x:v>2095</x:v>
      </x:c>
      <x:c r="K674" s="3"/>
      <x:c r="L674" s="3"/>
    </x:row>
    <x:row r="675" spans="1:12">
      <x:c r="A675" t="s">
        <x:v>42</x:v>
      </x:c>
      <x:c r="B675" s="6" t="str">
        <x:f>LEFT(G675,SEARCH("]",G675))</x:f>
        <x:v>[9한01-04]</x:v>
      </x:c>
      <x:c r="C675" s="5" t="str">
        <x:f>MID(G675,SEARCH("]",G675)+1,200)</x:f>
        <x:v>단어와 성어를 읽고 풀이한다.</x:v>
      </x:c>
      <x:c r="G675" s="3" t="s">
        <x:v>1716</x:v>
      </x:c>
      <x:c r="K675" s="3"/>
      <x:c r="L675" s="3"/>
    </x:row>
    <x:row r="676" spans="1:12">
      <x:c r="A676" t="s">
        <x:v>42</x:v>
      </x:c>
      <x:c r="B676" s="6" t="str">
        <x:f>LEFT(G676,SEARCH("]",G676))</x:f>
        <x:v>[9한01-05]</x:v>
      </x:c>
      <x:c r="C676" s="5" t="str">
        <x:f>MID(G676,SEARCH("]",G676)+1,200)</x:f>
        <x:v>단어와 성어를 맥락에 맞게 활용하여 소통하는 태도를 기른다.</x:v>
      </x:c>
      <x:c r="G676" s="3" t="s">
        <x:v>1982</x:v>
      </x:c>
      <x:c r="K676" s="3"/>
      <x:c r="L676" s="3"/>
    </x:row>
    <x:row r="677" spans="1:12">
      <x:c r="A677" t="s">
        <x:v>42</x:v>
      </x:c>
      <x:c r="B677" s="6" t="str">
        <x:f>LEFT(G677,SEARCH("]",G677))</x:f>
        <x:v>[9한01-06]</x:v>
      </x:c>
      <x:c r="C677" s="5" t="str">
        <x:f>MID(G677,SEARCH("]",G677)+1,200)</x:f>
        <x:v>한자 문화권의 문화에 대한 지식을 익혀 이해와 교류 증진에 참여하려는 태도를 기른다.</x:v>
      </x:c>
      <x:c r="G677" s="3" t="s">
        <x:v>189</x:v>
      </x:c>
      <x:c r="K677" s="3"/>
      <x:c r="L677" s="3"/>
    </x:row>
    <x:row r="678" spans="1:12">
      <x:c r="A678" t="s">
        <x:v>42</x:v>
      </x:c>
      <x:c r="B678" s="6" t="str">
        <x:f>LEFT(G678,SEARCH("]",G678))</x:f>
        <x:v>[9한02-01]</x:v>
      </x:c>
      <x:c r="C678" s="5" t="str">
        <x:f>MID(G678,SEARCH("]",G678)+1,200)</x:f>
        <x:v>문장의 구조를 구별한다.</x:v>
      </x:c>
      <x:c r="G678" s="3" t="s">
        <x:v>2098</x:v>
      </x:c>
      <x:c r="K678" s="3"/>
      <x:c r="L678" s="3"/>
    </x:row>
    <x:row r="679" spans="1:12">
      <x:c r="A679" t="s">
        <x:v>42</x:v>
      </x:c>
      <x:c r="B679" s="6" t="str">
        <x:f>LEFT(G679,SEARCH("]",G679))</x:f>
        <x:v>[9한02-02]</x:v>
      </x:c>
      <x:c r="C679" s="5" t="str">
        <x:f>MID(G679,SEARCH("]",G679)+1,200)</x:f>
        <x:v>글을 의미에 맞게 읽는다.</x:v>
      </x:c>
      <x:c r="G679" s="3" t="s">
        <x:v>2097</x:v>
      </x:c>
      <x:c r="K679" s="3"/>
      <x:c r="L679" s="3"/>
    </x:row>
    <x:row r="680" spans="1:12">
      <x:c r="A680" t="s">
        <x:v>42</x:v>
      </x:c>
      <x:c r="B680" s="6" t="str">
        <x:f>LEFT(G680,SEARCH("]",G680))</x:f>
        <x:v>[9한02-03]</x:v>
      </x:c>
      <x:c r="C680" s="5" t="str">
        <x:f>MID(G680,SEARCH("]",G680)+1,200)</x:f>
        <x:v>글을 바르게 풀이한다.</x:v>
      </x:c>
      <x:c r="G680" s="3" t="s">
        <x:v>2096</x:v>
      </x:c>
      <x:c r="K680" s="3"/>
      <x:c r="L680" s="3"/>
    </x:row>
    <x:row r="681" spans="1:12">
      <x:c r="A681" t="s">
        <x:v>42</x:v>
      </x:c>
      <x:c r="B681" s="6" t="str">
        <x:f>LEFT(G681,SEARCH("]",G681))</x:f>
        <x:v>[9한02-04]</x:v>
      </x:c>
      <x:c r="C681" s="5" t="str">
        <x:f>MID(G681,SEARCH("]",G681)+1,200)</x:f>
        <x:v>글의 내용을 이해하고 주제를 파악한다.</x:v>
      </x:c>
      <x:c r="G681" s="3" t="s">
        <x:v>1806</x:v>
      </x:c>
      <x:c r="K681" s="3"/>
      <x:c r="L681" s="3"/>
    </x:row>
    <x:row r="682" spans="1:12">
      <x:c r="A682" t="s">
        <x:v>42</x:v>
      </x:c>
      <x:c r="B682" s="6" t="str">
        <x:f>LEFT(G682,SEARCH("]",G682))</x:f>
        <x:v>[9한02-05]</x:v>
      </x:c>
      <x:c r="C682" s="5" t="str">
        <x:f>MID(G682,SEARCH("]",G682)+1,200)</x:f>
        <x:v>글에 담긴 선인들의 지혜를 이해하여 미래 사회에 필요한 인성을 함양한다.</x:v>
      </x:c>
      <x:c r="G682" s="3" t="s">
        <x:v>1857</x:v>
      </x:c>
      <x:c r="K682" s="3"/>
      <x:c r="L682" s="3"/>
    </x:row>
    <x:row r="683" spans="1:12">
      <x:c r="A683" t="s">
        <x:v>42</x:v>
      </x:c>
      <x:c r="B683" s="6" t="str">
        <x:f>LEFT(G683,SEARCH("]",G683))</x:f>
        <x:v>[9한02-06]</x:v>
      </x:c>
      <x:c r="C683" s="5" t="str">
        <x:f>MID(G683,SEARCH("]",G683)+1,200)</x:f>
        <x:v>글에 담긴 전통문화의 의미와 가치를 알고 소중하게 여기는 태도를 기른다.</x:v>
      </x:c>
      <x:c r="G683" s="3" t="s">
        <x:v>1846</x:v>
      </x:c>
      <x:c r="K683" s="3"/>
      <x:c r="L683" s="3"/>
    </x:row>
    <x:row r="684" spans="1:12" ht="32.75">
      <x:c r="A684" t="s">
        <x:v>34</x:v>
      </x:c>
      <x:c r="B684" s="6" t="str">
        <x:f>LEFT(G684,SEARCH("]",G684))</x:f>
        <x:v>[9환01-01]</x:v>
      </x:c>
      <x:c r="C684" s="5" t="str">
        <x:f>MID(G684,SEARCH("]",G684)+1,200)</x:f>
        <x:v>일상생활이 환경에 미치는 영향과 환경이 일상생활에 미치는 영향을 조사하여 인간과 환경의관계를 탐색하고,환경에 대한 우리의 역할과 책임을 인식한다.</x:v>
      </x:c>
      <x:c r="G684" s="3" t="s">
        <x:v>1764</x:v>
      </x:c>
      <x:c r="K684" s="3"/>
      <x:c r="L684" s="3"/>
    </x:row>
    <x:row r="685" spans="1:12" ht="32.75">
      <x:c r="A685" t="s">
        <x:v>34</x:v>
      </x:c>
      <x:c r="B685" s="6" t="str">
        <x:f>LEFT(G685,SEARCH("]",G685))</x:f>
        <x:v>[9환01-02]</x:v>
      </x:c>
      <x:c r="C685" s="5" t="str">
        <x:f>MID(G685,SEARCH("]",G685)+1,200)</x:f>
        <x:v>환경 갈등 상황에서 환경에 대한 자신의 관점과 의견을 제시하고,환경을 바라보는 다양한 관점을 비교하여 환경과 인간의 관계를 탐색한다.</x:v>
      </x:c>
      <x:c r="G685" s="3" t="s">
        <x:v>1631</x:v>
      </x:c>
      <x:c r="K685" s="3"/>
      <x:c r="L685" s="3"/>
    </x:row>
    <x:row r="686" spans="1:12" ht="32.75">
      <x:c r="A686" t="s">
        <x:v>34</x:v>
      </x:c>
      <x:c r="B686" s="6" t="str">
        <x:f>LEFT(G686,SEARCH("]",G686))</x:f>
        <x:v>[9환01-03]</x:v>
      </x:c>
      <x:c r="C686" s="5" t="str">
        <x:f>MID(G686,SEARCH("]",G686)+1,200)</x:f>
        <x:v>오감을 활용해 자연을 체험하고,자연의 아름다움이나 변화,훼손 등에 대한 생각과 감정을 다양한 방법으로 표현한다.</x:v>
      </x:c>
      <x:c r="G686" s="3" t="s">
        <x:v>1807</x:v>
      </x:c>
      <x:c r="K686" s="3"/>
      <x:c r="L686" s="3"/>
    </x:row>
    <x:row r="687" spans="1:7" ht="32.75">
      <x:c r="A687" t="s">
        <x:v>34</x:v>
      </x:c>
      <x:c r="B687" s="6" t="str">
        <x:f>LEFT(G687,SEARCH("]",G687))</x:f>
        <x:v>[9환01-04]</x:v>
      </x:c>
      <x:c r="C687" s="5" t="str">
        <x:f>MID(G687,SEARCH("]",G687)+1,200)</x:f>
        <x:v>학교나 지역 환경 탐사를 통해 지역과 나의 관계를 이해하고,탐사 결과를 다양한 매체와 방법으로 제시한다.</x:v>
      </x:c>
      <x:c r="G687" s="3" t="s">
        <x:v>555</x:v>
      </x:c>
    </x:row>
    <x:row r="688" spans="1:7" ht="32.75">
      <x:c r="A688" t="s">
        <x:v>34</x:v>
      </x:c>
      <x:c r="B688" s="6" t="str">
        <x:f>LEFT(G688,SEARCH("]",G688))</x:f>
        <x:v>[9환02-01]</x:v>
      </x:c>
      <x:c r="C688" s="5" t="str">
        <x:f>MID(G688,SEARCH("]",G688)+1,200)</x:f>
        <x:v>생태계 구성 요소인 물,대기,토양,생물이 지구 생태계의 유지에 기여하는 역할과 특징을 살펴보고,이를 통해 지구 생태계 구성 요소의 상호 작용을 파악한다.</x:v>
      </x:c>
      <x:c r="G688" s="3" t="s">
        <x:v>578</x:v>
      </x:c>
    </x:row>
    <x:row r="689" spans="1:7" ht="32.75">
      <x:c r="A689" t="s">
        <x:v>34</x:v>
      </x:c>
      <x:c r="B689" s="6" t="str">
        <x:f>LEFT(G689,SEARCH("]",G689))</x:f>
        <x:v>[9환02-02]</x:v>
      </x:c>
      <x:c r="C689" s="5" t="str">
        <x:f>MID(G689,SEARCH("]",G689)+1,200)</x:f>
        <x:v>지구 생태계 구성 요소와 인간 사회의 상호 작용 사례를 지역적,지구적 차원에서 찾아보고,환경의 다양한 수준에 미치는 영향과 시간의 흐름에 따른 변화를 추론한다.</x:v>
      </x:c>
      <x:c r="G689" s="3" t="s">
        <x:v>194</x:v>
      </x:c>
    </x:row>
    <x:row r="690" spans="1:7" ht="32.75">
      <x:c r="A690" t="s">
        <x:v>34</x:v>
      </x:c>
      <x:c r="B690" s="6" t="str">
        <x:f>LEFT(G690,SEARCH("]",G690))</x:f>
        <x:v>[9환02-03]</x:v>
      </x:c>
      <x:c r="C690" s="5" t="str">
        <x:f>MID(G690,SEARCH("]",G690)+1,200)</x:f>
        <x:v>환경은 물,대기,토양,생물로 구성된 지구 생태계와 정치⋅경제⋅문화⋅법과 제도 등 인간사회의 상호 작용을 기반으로 다양성과 복잡성을 가진 시스템임을 탐구한다.</x:v>
      </x:c>
      <x:c r="G690" s="3" t="s">
        <x:v>198</x:v>
      </x:c>
    </x:row>
    <x:row r="691" spans="1:7" ht="32.75">
      <x:c r="A691" t="s">
        <x:v>34</x:v>
      </x:c>
      <x:c r="B691" s="6" t="str">
        <x:f>LEFT(G691,SEARCH("]",G691))</x:f>
        <x:v>[9환03-01]</x:v>
      </x:c>
      <x:c r="C691" s="5" t="str">
        <x:f>MID(G691,SEARCH("]",G691)+1,200)</x:f>
        <x:v>지구 생태계의 구성 요소와 관련된 환경 문제를 조사하여 그 문제의 특성을 파악하고,환경 문제의 발생 원인과 영향을 사회,문화,경제 등 여러 측면을 고려하여 분석하고 추론한다.</x:v>
      </x:c>
      <x:c r="G691" s="3" t="s">
        <x:v>19</x:v>
      </x:c>
    </x:row>
    <x:row r="692" spans="1:7" ht="32.75">
      <x:c r="A692" t="s">
        <x:v>34</x:v>
      </x:c>
      <x:c r="B692" s="6" t="str">
        <x:f>LEFT(G692,SEARCH("]",G692))</x:f>
        <x:v>[9환03-02]</x:v>
      </x:c>
      <x:c r="C692" s="5" t="str">
        <x:f>MID(G692,SEARCH("]",G692)+1,200)</x:f>
        <x:v>신⋅재생 에너지,핵발전,자원 재활용과 쓰레기 처리 등 에너지 이용 및 자원 순환과 관련된문제를 탐구하는 과정을 계획하여 수행하고,관련된 요소 간의 상호 작용을 분석한다.</x:v>
      </x:c>
      <x:c r="G692" s="3" t="s">
        <x:v>758</x:v>
      </x:c>
    </x:row>
    <x:row r="693" spans="1:7">
      <x:c r="A693" t="s">
        <x:v>34</x:v>
      </x:c>
      <x:c r="B693" s="6" t="str">
        <x:f>LEFT(G693,SEARCH("]",G693))</x:f>
        <x:v>[9환03-03]</x:v>
      </x:c>
      <x:c r="C693" s="5" t="str">
        <x:f>MID(G693,SEARCH("]",G693)+1,200)</x:f>
        <x:v>환경 문제의 원인과 영향을 데이터를 기반으로 조사하고,관련 쟁점과 해결 방안을 탐구한다.</x:v>
      </x:c>
      <x:c r="G693" s="3" t="s">
        <x:v>190</x:v>
      </x:c>
    </x:row>
    <x:row r="694" spans="1:7" ht="32.75">
      <x:c r="A694" t="s">
        <x:v>34</x:v>
      </x:c>
      <x:c r="B694" s="6" t="str">
        <x:f>LEFT(G694,SEARCH("]",G694))</x:f>
        <x:v>[9환03-04]</x:v>
      </x:c>
      <x:c r="C694" s="5" t="str">
        <x:f>MID(G694,SEARCH("]",G694)+1,200)</x:f>
        <x:v>지역 환경 문제가 지구 환경 문제와 어떻게 연결되어 있으며,지구 생태계의 구성 요소 중어떤 것과 관련이 있는지 파악하고,지속가능성과 형평성을 고려하여 해결 방안을 제시 한다.</x:v>
      </x:c>
      <x:c r="G694" s="3" t="s">
        <x:v>20</x:v>
      </x:c>
    </x:row>
    <x:row r="695" spans="1:7" ht="32.75">
      <x:c r="A695" t="s">
        <x:v>34</x:v>
      </x:c>
      <x:c r="B695" s="6" t="str">
        <x:f>LEFT(G695,SEARCH("]",G695))</x:f>
        <x:v>[9환04-01]</x:v>
      </x:c>
      <x:c r="C695" s="5" t="str">
        <x:f>MID(G695,SEARCH("]",G695)+1,200)</x:f>
        <x:v>지구 역사와 함께 기후가 어떻게 변화해 왔고 전망되는지 이해하고 현재의 기후위기 상황을 인식한다.</x:v>
      </x:c>
      <x:c r="G695" s="3" t="s">
        <x:v>1974</x:v>
      </x:c>
    </x:row>
    <x:row r="696" spans="1:7" ht="32.75">
      <x:c r="A696" t="s">
        <x:v>34</x:v>
      </x:c>
      <x:c r="B696" s="6" t="str">
        <x:f>LEFT(G696,SEARCH("]",G696))</x:f>
        <x:v>[9환04-02]</x:v>
      </x:c>
      <x:c r="C696" s="5" t="str">
        <x:f>MID(G696,SEARCH("]",G696)+1,200)</x:f>
        <x:v>생물다양성 감소 등 기후변화의 영향과 피해,갈등과 불평등에 관한 사례를 탐구하고,사람과자연이 겪는 고통에 공감하며 지구 공동체의 관점에서 기후변화 피해를 줄이는 방법을 토의한다.</x:v>
      </x:c>
      <x:c r="G696" s="3" t="s">
        <x:v>60</x:v>
      </x:c>
    </x:row>
    <x:row r="697" spans="1:7" ht="32.75">
      <x:c r="A697" t="s">
        <x:v>34</x:v>
      </x:c>
      <x:c r="B697" s="6" t="str">
        <x:f>LEFT(G697,SEARCH("]",G697))</x:f>
        <x:v>[9환04-03]</x:v>
      </x:c>
      <x:c r="C697" s="5" t="str">
        <x:f>MID(G697,SEARCH("]",G697)+1,200)</x:f>
        <x:v>온실가스의 종류와 특성을 알아보고,온실가스 배출원과 배출량을 비교하여 인간 활동이기후변화에 끼친 영향을 파악한다.</x:v>
      </x:c>
      <x:c r="G697" s="3" t="s">
        <x:v>1962</x:v>
      </x:c>
    </x:row>
    <x:row r="698" spans="1:7" ht="32.75">
      <x:c r="A698" t="s">
        <x:v>34</x:v>
      </x:c>
      <x:c r="B698" s="6" t="str">
        <x:f>LEFT(G698,SEARCH("]",G698))</x:f>
        <x:v>[9환04-04]</x:v>
      </x:c>
      <x:c r="C698" s="5" t="str">
        <x:f>MID(G698,SEARCH("]",G698)+1,200)</x:f>
        <x:v>지속가능한 미래를 위한 기후위기 대응 방향을 토의하고,개인적⋅지역적⋅국가적 차원의 기후행동 사례를 탐구한다.</x:v>
      </x:c>
      <x:c r="G698" s="3" t="s">
        <x:v>1808</x:v>
      </x:c>
    </x:row>
    <x:row r="699" spans="1:7">
      <x:c r="A699" t="s">
        <x:v>34</x:v>
      </x:c>
      <x:c r="B699" s="6" t="str">
        <x:f>LEFT(G699,SEARCH("]",G699))</x:f>
        <x:v>[9환04-05]</x:v>
      </x:c>
      <x:c r="C699" s="5" t="str">
        <x:f>MID(G699,SEARCH("]",G699)+1,200)</x:f>
        <x:v>학교와 지역에서 실천할 수 있는 기후행동을 계획하고 참여하며 그 결과를 성찰한다.</x:v>
      </x:c>
      <x:c r="G699" s="3" t="s">
        <x:v>2103</x:v>
      </x:c>
    </x:row>
    <x:row r="700" spans="1:7" ht="32.75">
      <x:c r="A700" t="s">
        <x:v>34</x:v>
      </x:c>
      <x:c r="B700" s="6" t="str">
        <x:f>LEFT(G700,SEARCH("]",G700))</x:f>
        <x:v>[9환05-01]</x:v>
      </x:c>
      <x:c r="C700" s="5" t="str">
        <x:f>MID(G700,SEARCH("]",G700)+1,200)</x:f>
        <x:v>지속가능성의 의미를 이해하여 주거,교통,먹거리,소비 등 일상생활에서 지속가능발전의사례를 찾아보고,창의적⋅개방적 태도로 지속가능한 미래 모습을 구상해 보며 자신의 견해를제시한다.</x:v>
      </x:c>
      <x:c r="G700" s="3" t="s">
        <x:v>21</x:v>
      </x:c>
    </x:row>
    <x:row r="701" spans="1:7" ht="32.75">
      <x:c r="A701" t="s">
        <x:v>34</x:v>
      </x:c>
      <x:c r="B701" s="6" t="str">
        <x:f>LEFT(G701,SEARCH("]",G701))</x:f>
        <x:v>[9환05-02]</x:v>
      </x:c>
      <x:c r="C701" s="5" t="str">
        <x:f>MID(G701,SEARCH("]",G701)+1,200)</x:f>
        <x:v>생태시민의 의미와 역할을 이해하여 미래 세대와 비인간 존재에 대한 배려와 존중이 필요함을인식하고 배려의 대상과 범위에 대해 토의한다.</x:v>
      </x:c>
      <x:c r="G701" s="3" t="s">
        <x:v>1623</x:v>
      </x:c>
    </x:row>
    <x:row r="702" spans="1:7" ht="32.75">
      <x:c r="A702" t="s">
        <x:v>34</x:v>
      </x:c>
      <x:c r="B702" s="6" t="str">
        <x:f>LEFT(G702,SEARCH("]",G702))</x:f>
        <x:v>[9환05-03]</x:v>
      </x:c>
      <x:c r="C702" s="5" t="str">
        <x:f>MID(G702,SEARCH("]",G702)+1,200)</x:f>
        <x:v>환경 정의 측면에서 자신이 살고 있는 마을이나 지역에 적용할 수 있는 지속가능한 사회를 위한 개인적⋅사회적 실천 방안을 조사하여 참여해 보고,실천 방안을 평가한다.</x:v>
      </x:c>
      <x:c r="G702" s="3" t="s">
        <x:v>755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8</cp:revision>
  <dcterms:created xsi:type="dcterms:W3CDTF">2026-07-23T07:17:19.947</dcterms:created>
  <dcterms:modified xsi:type="dcterms:W3CDTF">2026-07-24T04:40:07.378</dcterms:modified>
  <cp:version>1300.0100.01</cp:version>
</cp:coreProperties>
</file>